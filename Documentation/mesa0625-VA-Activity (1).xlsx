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From BigDisk\GIT\Ocean_Accounts\Documentation\"/>
    </mc:Choice>
  </mc:AlternateContent>
  <xr:revisionPtr revIDLastSave="0" documentId="8_{58F799B0-69F7-4DE4-9A2E-29DFC4F41421}" xr6:coauthVersionLast="47" xr6:coauthVersionMax="47" xr10:uidLastSave="{00000000-0000-0000-0000-000000000000}"/>
  <bookViews>
    <workbookView xWindow="-28920" yWindow="-120" windowWidth="29040" windowHeight="15720" xr2:uid="{698937C5-2B0B-476B-951F-BCCFDC7880EC}"/>
  </bookViews>
  <sheets>
    <sheet name="RealVA" sheetId="1" r:id="rId1"/>
    <sheet name="VA" sheetId="2" r:id="rId2"/>
    <sheet name="VAPercentGDP" sheetId="8" r:id="rId3"/>
    <sheet name="VAPercentMESAVA" sheetId="9" r:id="rId4"/>
    <sheet name="ChainQtyIndexes" sheetId="5" r:id="rId5"/>
    <sheet name="%ChangeChainQtyIndexes" sheetId="10" r:id="rId6"/>
    <sheet name="ChainPriceIndexes" sheetId="7" r:id="rId7"/>
    <sheet name="%ChangeChainPriceIndexes" sheetId="11" r:id="rId8"/>
  </sheets>
  <definedNames>
    <definedName name="_xlnm.Print_Area" localSheetId="7">'%ChangeChainPriceIndexes'!$A$1:$K$81</definedName>
    <definedName name="_xlnm.Print_Area" localSheetId="5">'%ChangeChainQtyIndexes'!$A$1:$K$81</definedName>
    <definedName name="_xlnm.Print_Area" localSheetId="6">ChainPriceIndexes!$A$1:$L$81</definedName>
    <definedName name="_xlnm.Print_Area" localSheetId="4">ChainQtyIndexes!$A$1:$L$81</definedName>
    <definedName name="_xlnm.Print_Area" localSheetId="0">RealVA!$A$1:$L$81</definedName>
    <definedName name="_xlnm.Print_Area" localSheetId="1">VA!$A$1:$L$81</definedName>
    <definedName name="_xlnm.Print_Area" localSheetId="2">VAPercentGDP!$A$1:$L$81</definedName>
    <definedName name="_xlnm.Print_Area" localSheetId="3">VAPercentMESAVA!$A$1:$L$81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 i="1" l="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3" i="1"/>
  <c r="P10" i="1"/>
  <c r="Q10" i="1"/>
  <c r="R10" i="1"/>
  <c r="S10" i="1"/>
  <c r="T10" i="1"/>
  <c r="U10" i="1"/>
  <c r="V10" i="1" s="1"/>
  <c r="W10" i="1" s="1"/>
  <c r="X10" i="1" s="1"/>
  <c r="P46" i="1"/>
  <c r="Q46" i="1" s="1"/>
  <c r="R46" i="1" s="1"/>
  <c r="S46" i="1" s="1"/>
  <c r="T46" i="1" s="1"/>
  <c r="U46" i="1" s="1"/>
  <c r="V46" i="1" s="1"/>
  <c r="W46" i="1" s="1"/>
  <c r="X46" i="1" s="1"/>
  <c r="R3" i="1"/>
  <c r="S3" i="1"/>
  <c r="T3" i="1"/>
  <c r="U3" i="1"/>
  <c r="V3" i="1"/>
  <c r="W3" i="1"/>
  <c r="X3" i="1"/>
  <c r="Q3" i="1"/>
  <c r="P3" i="1"/>
  <c r="M5" i="1"/>
  <c r="P5" i="1" s="1"/>
  <c r="Q5" i="1" s="1"/>
  <c r="R5" i="1" s="1"/>
  <c r="S5" i="1" s="1"/>
  <c r="T5" i="1" s="1"/>
  <c r="U5" i="1" s="1"/>
  <c r="V5" i="1" s="1"/>
  <c r="W5" i="1" s="1"/>
  <c r="X5" i="1" s="1"/>
  <c r="M6" i="1"/>
  <c r="P6" i="1" s="1"/>
  <c r="Q6" i="1" s="1"/>
  <c r="R6" i="1" s="1"/>
  <c r="S6" i="1" s="1"/>
  <c r="T6" i="1" s="1"/>
  <c r="U6" i="1" s="1"/>
  <c r="V6" i="1" s="1"/>
  <c r="W6" i="1" s="1"/>
  <c r="X6" i="1" s="1"/>
  <c r="M7" i="1"/>
  <c r="P7" i="1" s="1"/>
  <c r="Q7" i="1" s="1"/>
  <c r="R7" i="1" s="1"/>
  <c r="S7" i="1" s="1"/>
  <c r="T7" i="1" s="1"/>
  <c r="U7" i="1" s="1"/>
  <c r="V7" i="1" s="1"/>
  <c r="W7" i="1" s="1"/>
  <c r="X7" i="1" s="1"/>
  <c r="M8" i="1"/>
  <c r="P8" i="1" s="1"/>
  <c r="Q8" i="1" s="1"/>
  <c r="R8" i="1" s="1"/>
  <c r="S8" i="1" s="1"/>
  <c r="T8" i="1" s="1"/>
  <c r="U8" i="1" s="1"/>
  <c r="V8" i="1" s="1"/>
  <c r="W8" i="1" s="1"/>
  <c r="X8" i="1" s="1"/>
  <c r="M9" i="1"/>
  <c r="P9" i="1" s="1"/>
  <c r="Q9" i="1" s="1"/>
  <c r="R9" i="1" s="1"/>
  <c r="S9" i="1" s="1"/>
  <c r="T9" i="1" s="1"/>
  <c r="U9" i="1" s="1"/>
  <c r="V9" i="1" s="1"/>
  <c r="W9" i="1" s="1"/>
  <c r="X9" i="1" s="1"/>
  <c r="M10" i="1"/>
  <c r="M11" i="1"/>
  <c r="P11" i="1" s="1"/>
  <c r="Q11" i="1" s="1"/>
  <c r="R11" i="1" s="1"/>
  <c r="S11" i="1" s="1"/>
  <c r="T11" i="1" s="1"/>
  <c r="U11" i="1" s="1"/>
  <c r="V11" i="1" s="1"/>
  <c r="W11" i="1" s="1"/>
  <c r="X11" i="1" s="1"/>
  <c r="M12" i="1"/>
  <c r="P12" i="1" s="1"/>
  <c r="Q12" i="1" s="1"/>
  <c r="R12" i="1" s="1"/>
  <c r="S12" i="1" s="1"/>
  <c r="T12" i="1" s="1"/>
  <c r="U12" i="1" s="1"/>
  <c r="V12" i="1" s="1"/>
  <c r="W12" i="1" s="1"/>
  <c r="X12" i="1" s="1"/>
  <c r="M13" i="1"/>
  <c r="P13" i="1" s="1"/>
  <c r="Q13" i="1" s="1"/>
  <c r="R13" i="1" s="1"/>
  <c r="S13" i="1" s="1"/>
  <c r="T13" i="1" s="1"/>
  <c r="U13" i="1" s="1"/>
  <c r="V13" i="1" s="1"/>
  <c r="W13" i="1" s="1"/>
  <c r="X13" i="1" s="1"/>
  <c r="M14" i="1"/>
  <c r="P14" i="1" s="1"/>
  <c r="Q14" i="1" s="1"/>
  <c r="R14" i="1" s="1"/>
  <c r="S14" i="1" s="1"/>
  <c r="T14" i="1" s="1"/>
  <c r="U14" i="1" s="1"/>
  <c r="V14" i="1" s="1"/>
  <c r="W14" i="1" s="1"/>
  <c r="X14" i="1" s="1"/>
  <c r="M15" i="1"/>
  <c r="P15" i="1" s="1"/>
  <c r="Q15" i="1" s="1"/>
  <c r="R15" i="1" s="1"/>
  <c r="S15" i="1" s="1"/>
  <c r="T15" i="1" s="1"/>
  <c r="U15" i="1" s="1"/>
  <c r="V15" i="1" s="1"/>
  <c r="W15" i="1" s="1"/>
  <c r="X15" i="1" s="1"/>
  <c r="M16" i="1"/>
  <c r="P16" i="1" s="1"/>
  <c r="Q16" i="1" s="1"/>
  <c r="R16" i="1" s="1"/>
  <c r="S16" i="1" s="1"/>
  <c r="T16" i="1" s="1"/>
  <c r="U16" i="1" s="1"/>
  <c r="V16" i="1" s="1"/>
  <c r="W16" i="1" s="1"/>
  <c r="X16" i="1" s="1"/>
  <c r="M17" i="1"/>
  <c r="P17" i="1" s="1"/>
  <c r="Q17" i="1" s="1"/>
  <c r="R17" i="1" s="1"/>
  <c r="S17" i="1" s="1"/>
  <c r="T17" i="1" s="1"/>
  <c r="U17" i="1" s="1"/>
  <c r="V17" i="1" s="1"/>
  <c r="W17" i="1" s="1"/>
  <c r="X17" i="1" s="1"/>
  <c r="M18" i="1"/>
  <c r="P18" i="1" s="1"/>
  <c r="Q18" i="1" s="1"/>
  <c r="R18" i="1" s="1"/>
  <c r="S18" i="1" s="1"/>
  <c r="T18" i="1" s="1"/>
  <c r="U18" i="1" s="1"/>
  <c r="V18" i="1" s="1"/>
  <c r="W18" i="1" s="1"/>
  <c r="X18" i="1" s="1"/>
  <c r="M19" i="1"/>
  <c r="P19" i="1" s="1"/>
  <c r="Q19" i="1" s="1"/>
  <c r="R19" i="1" s="1"/>
  <c r="S19" i="1" s="1"/>
  <c r="T19" i="1" s="1"/>
  <c r="U19" i="1" s="1"/>
  <c r="V19" i="1" s="1"/>
  <c r="W19" i="1" s="1"/>
  <c r="X19" i="1" s="1"/>
  <c r="M20" i="1"/>
  <c r="P20" i="1" s="1"/>
  <c r="Q20" i="1" s="1"/>
  <c r="R20" i="1" s="1"/>
  <c r="S20" i="1" s="1"/>
  <c r="T20" i="1" s="1"/>
  <c r="U20" i="1" s="1"/>
  <c r="V20" i="1" s="1"/>
  <c r="W20" i="1" s="1"/>
  <c r="X20" i="1" s="1"/>
  <c r="M21" i="1"/>
  <c r="P21" i="1" s="1"/>
  <c r="Q21" i="1" s="1"/>
  <c r="R21" i="1" s="1"/>
  <c r="S21" i="1" s="1"/>
  <c r="T21" i="1" s="1"/>
  <c r="U21" i="1" s="1"/>
  <c r="V21" i="1" s="1"/>
  <c r="W21" i="1" s="1"/>
  <c r="X21" i="1" s="1"/>
  <c r="M22" i="1"/>
  <c r="P22" i="1" s="1"/>
  <c r="Q22" i="1" s="1"/>
  <c r="R22" i="1" s="1"/>
  <c r="S22" i="1" s="1"/>
  <c r="T22" i="1" s="1"/>
  <c r="U22" i="1" s="1"/>
  <c r="V22" i="1" s="1"/>
  <c r="W22" i="1" s="1"/>
  <c r="X22" i="1" s="1"/>
  <c r="M23" i="1"/>
  <c r="P23" i="1" s="1"/>
  <c r="Q23" i="1" s="1"/>
  <c r="R23" i="1" s="1"/>
  <c r="S23" i="1" s="1"/>
  <c r="T23" i="1" s="1"/>
  <c r="U23" i="1" s="1"/>
  <c r="V23" i="1" s="1"/>
  <c r="W23" i="1" s="1"/>
  <c r="X23" i="1" s="1"/>
  <c r="M24" i="1"/>
  <c r="P24" i="1" s="1"/>
  <c r="Q24" i="1" s="1"/>
  <c r="R24" i="1" s="1"/>
  <c r="S24" i="1" s="1"/>
  <c r="T24" i="1" s="1"/>
  <c r="U24" i="1" s="1"/>
  <c r="V24" i="1" s="1"/>
  <c r="W24" i="1" s="1"/>
  <c r="X24" i="1" s="1"/>
  <c r="M25" i="1"/>
  <c r="P25" i="1" s="1"/>
  <c r="Q25" i="1" s="1"/>
  <c r="R25" i="1" s="1"/>
  <c r="S25" i="1" s="1"/>
  <c r="T25" i="1" s="1"/>
  <c r="U25" i="1" s="1"/>
  <c r="V25" i="1" s="1"/>
  <c r="W25" i="1" s="1"/>
  <c r="X25" i="1" s="1"/>
  <c r="M26" i="1"/>
  <c r="P26" i="1" s="1"/>
  <c r="Q26" i="1" s="1"/>
  <c r="R26" i="1" s="1"/>
  <c r="S26" i="1" s="1"/>
  <c r="T26" i="1" s="1"/>
  <c r="U26" i="1" s="1"/>
  <c r="V26" i="1" s="1"/>
  <c r="W26" i="1" s="1"/>
  <c r="X26" i="1" s="1"/>
  <c r="M27" i="1"/>
  <c r="P27" i="1" s="1"/>
  <c r="Q27" i="1" s="1"/>
  <c r="R27" i="1" s="1"/>
  <c r="S27" i="1" s="1"/>
  <c r="T27" i="1" s="1"/>
  <c r="U27" i="1" s="1"/>
  <c r="V27" i="1" s="1"/>
  <c r="W27" i="1" s="1"/>
  <c r="X27" i="1" s="1"/>
  <c r="M28" i="1"/>
  <c r="P28" i="1" s="1"/>
  <c r="Q28" i="1" s="1"/>
  <c r="R28" i="1" s="1"/>
  <c r="S28" i="1" s="1"/>
  <c r="T28" i="1" s="1"/>
  <c r="U28" i="1" s="1"/>
  <c r="V28" i="1" s="1"/>
  <c r="W28" i="1" s="1"/>
  <c r="X28" i="1" s="1"/>
  <c r="M29" i="1"/>
  <c r="P29" i="1" s="1"/>
  <c r="Q29" i="1" s="1"/>
  <c r="R29" i="1" s="1"/>
  <c r="S29" i="1" s="1"/>
  <c r="T29" i="1" s="1"/>
  <c r="U29" i="1" s="1"/>
  <c r="V29" i="1" s="1"/>
  <c r="W29" i="1" s="1"/>
  <c r="X29" i="1" s="1"/>
  <c r="M30" i="1"/>
  <c r="P30" i="1" s="1"/>
  <c r="Q30" i="1" s="1"/>
  <c r="R30" i="1" s="1"/>
  <c r="S30" i="1" s="1"/>
  <c r="T30" i="1" s="1"/>
  <c r="U30" i="1" s="1"/>
  <c r="V30" i="1" s="1"/>
  <c r="W30" i="1" s="1"/>
  <c r="X30" i="1" s="1"/>
  <c r="M31" i="1"/>
  <c r="P31" i="1" s="1"/>
  <c r="Q31" i="1" s="1"/>
  <c r="R31" i="1" s="1"/>
  <c r="S31" i="1" s="1"/>
  <c r="T31" i="1" s="1"/>
  <c r="U31" i="1" s="1"/>
  <c r="V31" i="1" s="1"/>
  <c r="W31" i="1" s="1"/>
  <c r="X31" i="1" s="1"/>
  <c r="M32" i="1"/>
  <c r="P32" i="1" s="1"/>
  <c r="Q32" i="1" s="1"/>
  <c r="R32" i="1" s="1"/>
  <c r="S32" i="1" s="1"/>
  <c r="T32" i="1" s="1"/>
  <c r="U32" i="1" s="1"/>
  <c r="V32" i="1" s="1"/>
  <c r="W32" i="1" s="1"/>
  <c r="X32" i="1" s="1"/>
  <c r="M33" i="1"/>
  <c r="P33" i="1" s="1"/>
  <c r="Q33" i="1" s="1"/>
  <c r="R33" i="1" s="1"/>
  <c r="S33" i="1" s="1"/>
  <c r="T33" i="1" s="1"/>
  <c r="U33" i="1" s="1"/>
  <c r="V33" i="1" s="1"/>
  <c r="W33" i="1" s="1"/>
  <c r="X33" i="1" s="1"/>
  <c r="M34" i="1"/>
  <c r="P34" i="1" s="1"/>
  <c r="Q34" i="1" s="1"/>
  <c r="R34" i="1" s="1"/>
  <c r="S34" i="1" s="1"/>
  <c r="T34" i="1" s="1"/>
  <c r="U34" i="1" s="1"/>
  <c r="V34" i="1" s="1"/>
  <c r="W34" i="1" s="1"/>
  <c r="X34" i="1" s="1"/>
  <c r="M35" i="1"/>
  <c r="P35" i="1" s="1"/>
  <c r="Q35" i="1" s="1"/>
  <c r="R35" i="1" s="1"/>
  <c r="S35" i="1" s="1"/>
  <c r="T35" i="1" s="1"/>
  <c r="U35" i="1" s="1"/>
  <c r="V35" i="1" s="1"/>
  <c r="W35" i="1" s="1"/>
  <c r="X35" i="1" s="1"/>
  <c r="P36" i="1"/>
  <c r="Q36" i="1" s="1"/>
  <c r="R36" i="1" s="1"/>
  <c r="S36" i="1" s="1"/>
  <c r="T36" i="1" s="1"/>
  <c r="U36" i="1" s="1"/>
  <c r="V36" i="1" s="1"/>
  <c r="W36" i="1" s="1"/>
  <c r="X36" i="1" s="1"/>
  <c r="M37" i="1"/>
  <c r="P37" i="1" s="1"/>
  <c r="Q37" i="1" s="1"/>
  <c r="R37" i="1" s="1"/>
  <c r="S37" i="1" s="1"/>
  <c r="T37" i="1" s="1"/>
  <c r="U37" i="1" s="1"/>
  <c r="V37" i="1" s="1"/>
  <c r="W37" i="1" s="1"/>
  <c r="X37" i="1" s="1"/>
  <c r="M38" i="1"/>
  <c r="P38" i="1" s="1"/>
  <c r="Q38" i="1" s="1"/>
  <c r="R38" i="1" s="1"/>
  <c r="S38" i="1" s="1"/>
  <c r="T38" i="1" s="1"/>
  <c r="U38" i="1" s="1"/>
  <c r="V38" i="1" s="1"/>
  <c r="W38" i="1" s="1"/>
  <c r="X38" i="1" s="1"/>
  <c r="M39" i="1"/>
  <c r="P39" i="1" s="1"/>
  <c r="Q39" i="1" s="1"/>
  <c r="R39" i="1" s="1"/>
  <c r="S39" i="1" s="1"/>
  <c r="T39" i="1" s="1"/>
  <c r="U39" i="1" s="1"/>
  <c r="V39" i="1" s="1"/>
  <c r="W39" i="1" s="1"/>
  <c r="X39" i="1" s="1"/>
  <c r="M40" i="1"/>
  <c r="P40" i="1" s="1"/>
  <c r="Q40" i="1" s="1"/>
  <c r="R40" i="1" s="1"/>
  <c r="S40" i="1" s="1"/>
  <c r="T40" i="1" s="1"/>
  <c r="U40" i="1" s="1"/>
  <c r="V40" i="1" s="1"/>
  <c r="W40" i="1" s="1"/>
  <c r="X40" i="1" s="1"/>
  <c r="M41" i="1"/>
  <c r="P41" i="1" s="1"/>
  <c r="Q41" i="1" s="1"/>
  <c r="R41" i="1" s="1"/>
  <c r="S41" i="1" s="1"/>
  <c r="T41" i="1" s="1"/>
  <c r="U41" i="1" s="1"/>
  <c r="V41" i="1" s="1"/>
  <c r="W41" i="1" s="1"/>
  <c r="X41" i="1" s="1"/>
  <c r="M42" i="1"/>
  <c r="P42" i="1" s="1"/>
  <c r="Q42" i="1" s="1"/>
  <c r="R42" i="1" s="1"/>
  <c r="S42" i="1" s="1"/>
  <c r="T42" i="1" s="1"/>
  <c r="U42" i="1" s="1"/>
  <c r="V42" i="1" s="1"/>
  <c r="W42" i="1" s="1"/>
  <c r="X42" i="1" s="1"/>
  <c r="M43" i="1"/>
  <c r="P43" i="1" s="1"/>
  <c r="Q43" i="1" s="1"/>
  <c r="R43" i="1" s="1"/>
  <c r="S43" i="1" s="1"/>
  <c r="T43" i="1" s="1"/>
  <c r="U43" i="1" s="1"/>
  <c r="V43" i="1" s="1"/>
  <c r="W43" i="1" s="1"/>
  <c r="X43" i="1" s="1"/>
  <c r="M44" i="1"/>
  <c r="P44" i="1" s="1"/>
  <c r="Q44" i="1" s="1"/>
  <c r="R44" i="1" s="1"/>
  <c r="S44" i="1" s="1"/>
  <c r="T44" i="1" s="1"/>
  <c r="U44" i="1" s="1"/>
  <c r="V44" i="1" s="1"/>
  <c r="W44" i="1" s="1"/>
  <c r="X44" i="1" s="1"/>
  <c r="M45" i="1"/>
  <c r="P45" i="1" s="1"/>
  <c r="Q45" i="1" s="1"/>
  <c r="R45" i="1" s="1"/>
  <c r="S45" i="1" s="1"/>
  <c r="T45" i="1" s="1"/>
  <c r="U45" i="1" s="1"/>
  <c r="V45" i="1" s="1"/>
  <c r="W45" i="1" s="1"/>
  <c r="X45" i="1" s="1"/>
  <c r="M46" i="1"/>
  <c r="M47" i="1"/>
  <c r="P47" i="1" s="1"/>
  <c r="Q47" i="1" s="1"/>
  <c r="R47" i="1" s="1"/>
  <c r="S47" i="1" s="1"/>
  <c r="T47" i="1" s="1"/>
  <c r="U47" i="1" s="1"/>
  <c r="V47" i="1" s="1"/>
  <c r="W47" i="1" s="1"/>
  <c r="X47" i="1" s="1"/>
  <c r="M48" i="1"/>
  <c r="P48" i="1" s="1"/>
  <c r="Q48" i="1" s="1"/>
  <c r="R48" i="1" s="1"/>
  <c r="S48" i="1" s="1"/>
  <c r="T48" i="1" s="1"/>
  <c r="U48" i="1" s="1"/>
  <c r="V48" i="1" s="1"/>
  <c r="W48" i="1" s="1"/>
  <c r="X48" i="1" s="1"/>
  <c r="M49" i="1"/>
  <c r="P49" i="1" s="1"/>
  <c r="Q49" i="1" s="1"/>
  <c r="R49" i="1" s="1"/>
  <c r="S49" i="1" s="1"/>
  <c r="T49" i="1" s="1"/>
  <c r="U49" i="1" s="1"/>
  <c r="V49" i="1" s="1"/>
  <c r="W49" i="1" s="1"/>
  <c r="X49" i="1" s="1"/>
  <c r="M50" i="1"/>
  <c r="P50" i="1" s="1"/>
  <c r="Q50" i="1" s="1"/>
  <c r="R50" i="1" s="1"/>
  <c r="S50" i="1" s="1"/>
  <c r="T50" i="1" s="1"/>
  <c r="U50" i="1" s="1"/>
  <c r="V50" i="1" s="1"/>
  <c r="W50" i="1" s="1"/>
  <c r="X50" i="1" s="1"/>
  <c r="M51" i="1"/>
  <c r="P51" i="1" s="1"/>
  <c r="Q51" i="1" s="1"/>
  <c r="R51" i="1" s="1"/>
  <c r="S51" i="1" s="1"/>
  <c r="T51" i="1" s="1"/>
  <c r="U51" i="1" s="1"/>
  <c r="V51" i="1" s="1"/>
  <c r="W51" i="1" s="1"/>
  <c r="X51" i="1" s="1"/>
  <c r="M52" i="1"/>
  <c r="P52" i="1" s="1"/>
  <c r="Q52" i="1" s="1"/>
  <c r="R52" i="1" s="1"/>
  <c r="S52" i="1" s="1"/>
  <c r="T52" i="1" s="1"/>
  <c r="U52" i="1" s="1"/>
  <c r="V52" i="1" s="1"/>
  <c r="W52" i="1" s="1"/>
  <c r="X52" i="1" s="1"/>
  <c r="M53" i="1"/>
  <c r="P53" i="1" s="1"/>
  <c r="Q53" i="1" s="1"/>
  <c r="R53" i="1" s="1"/>
  <c r="S53" i="1" s="1"/>
  <c r="T53" i="1" s="1"/>
  <c r="U53" i="1" s="1"/>
  <c r="V53" i="1" s="1"/>
  <c r="W53" i="1" s="1"/>
  <c r="X53" i="1" s="1"/>
  <c r="M54" i="1"/>
  <c r="P54" i="1" s="1"/>
  <c r="Q54" i="1" s="1"/>
  <c r="R54" i="1" s="1"/>
  <c r="S54" i="1" s="1"/>
  <c r="T54" i="1" s="1"/>
  <c r="U54" i="1" s="1"/>
  <c r="V54" i="1" s="1"/>
  <c r="W54" i="1" s="1"/>
  <c r="X54" i="1" s="1"/>
  <c r="M55" i="1"/>
  <c r="P55" i="1" s="1"/>
  <c r="Q55" i="1" s="1"/>
  <c r="R55" i="1" s="1"/>
  <c r="S55" i="1" s="1"/>
  <c r="T55" i="1" s="1"/>
  <c r="U55" i="1" s="1"/>
  <c r="V55" i="1" s="1"/>
  <c r="W55" i="1" s="1"/>
  <c r="X55" i="1" s="1"/>
  <c r="M56" i="1"/>
  <c r="P56" i="1" s="1"/>
  <c r="Q56" i="1" s="1"/>
  <c r="R56" i="1" s="1"/>
  <c r="S56" i="1" s="1"/>
  <c r="T56" i="1" s="1"/>
  <c r="U56" i="1" s="1"/>
  <c r="V56" i="1" s="1"/>
  <c r="W56" i="1" s="1"/>
  <c r="X56" i="1" s="1"/>
  <c r="M57" i="1"/>
  <c r="P57" i="1" s="1"/>
  <c r="Q57" i="1" s="1"/>
  <c r="R57" i="1" s="1"/>
  <c r="S57" i="1" s="1"/>
  <c r="T57" i="1" s="1"/>
  <c r="U57" i="1" s="1"/>
  <c r="V57" i="1" s="1"/>
  <c r="W57" i="1" s="1"/>
  <c r="X57" i="1" s="1"/>
  <c r="M58" i="1"/>
  <c r="P58" i="1" s="1"/>
  <c r="Q58" i="1" s="1"/>
  <c r="R58" i="1" s="1"/>
  <c r="S58" i="1" s="1"/>
  <c r="T58" i="1" s="1"/>
  <c r="U58" i="1" s="1"/>
  <c r="V58" i="1" s="1"/>
  <c r="W58" i="1" s="1"/>
  <c r="X58" i="1" s="1"/>
  <c r="M59" i="1"/>
  <c r="P59" i="1" s="1"/>
  <c r="Q59" i="1" s="1"/>
  <c r="R59" i="1" s="1"/>
  <c r="S59" i="1" s="1"/>
  <c r="T59" i="1" s="1"/>
  <c r="U59" i="1" s="1"/>
  <c r="V59" i="1" s="1"/>
  <c r="W59" i="1" s="1"/>
  <c r="X59" i="1" s="1"/>
  <c r="M60" i="1"/>
  <c r="P60" i="1" s="1"/>
  <c r="Q60" i="1" s="1"/>
  <c r="R60" i="1" s="1"/>
  <c r="S60" i="1" s="1"/>
  <c r="T60" i="1" s="1"/>
  <c r="U60" i="1" s="1"/>
  <c r="V60" i="1" s="1"/>
  <c r="W60" i="1" s="1"/>
  <c r="X60" i="1" s="1"/>
  <c r="M61" i="1"/>
  <c r="P61" i="1" s="1"/>
  <c r="Q61" i="1" s="1"/>
  <c r="R61" i="1" s="1"/>
  <c r="S61" i="1" s="1"/>
  <c r="T61" i="1" s="1"/>
  <c r="U61" i="1" s="1"/>
  <c r="V61" i="1" s="1"/>
  <c r="W61" i="1" s="1"/>
  <c r="X61" i="1" s="1"/>
  <c r="M62" i="1"/>
  <c r="P62" i="1" s="1"/>
  <c r="Q62" i="1" s="1"/>
  <c r="R62" i="1" s="1"/>
  <c r="S62" i="1" s="1"/>
  <c r="T62" i="1" s="1"/>
  <c r="U62" i="1" s="1"/>
  <c r="V62" i="1" s="1"/>
  <c r="W62" i="1" s="1"/>
  <c r="X62" i="1" s="1"/>
  <c r="M63" i="1"/>
  <c r="P63" i="1" s="1"/>
  <c r="Q63" i="1" s="1"/>
  <c r="R63" i="1" s="1"/>
  <c r="S63" i="1" s="1"/>
  <c r="T63" i="1" s="1"/>
  <c r="U63" i="1" s="1"/>
  <c r="V63" i="1" s="1"/>
  <c r="W63" i="1" s="1"/>
  <c r="X63" i="1" s="1"/>
  <c r="M64" i="1"/>
  <c r="P64" i="1" s="1"/>
  <c r="Q64" i="1" s="1"/>
  <c r="R64" i="1" s="1"/>
  <c r="S64" i="1" s="1"/>
  <c r="T64" i="1" s="1"/>
  <c r="U64" i="1" s="1"/>
  <c r="V64" i="1" s="1"/>
  <c r="W64" i="1" s="1"/>
  <c r="X64" i="1" s="1"/>
  <c r="M65" i="1"/>
  <c r="P65" i="1" s="1"/>
  <c r="Q65" i="1" s="1"/>
  <c r="R65" i="1" s="1"/>
  <c r="S65" i="1" s="1"/>
  <c r="T65" i="1" s="1"/>
  <c r="U65" i="1" s="1"/>
  <c r="V65" i="1" s="1"/>
  <c r="W65" i="1" s="1"/>
  <c r="X65" i="1" s="1"/>
  <c r="M66" i="1"/>
  <c r="P66" i="1" s="1"/>
  <c r="Q66" i="1" s="1"/>
  <c r="R66" i="1" s="1"/>
  <c r="S66" i="1" s="1"/>
  <c r="T66" i="1" s="1"/>
  <c r="U66" i="1" s="1"/>
  <c r="V66" i="1" s="1"/>
  <c r="W66" i="1" s="1"/>
  <c r="X66" i="1" s="1"/>
  <c r="M67" i="1"/>
  <c r="P67" i="1" s="1"/>
  <c r="Q67" i="1" s="1"/>
  <c r="R67" i="1" s="1"/>
  <c r="S67" i="1" s="1"/>
  <c r="T67" i="1" s="1"/>
  <c r="U67" i="1" s="1"/>
  <c r="V67" i="1" s="1"/>
  <c r="W67" i="1" s="1"/>
  <c r="X67" i="1" s="1"/>
  <c r="M68" i="1"/>
  <c r="P68" i="1" s="1"/>
  <c r="Q68" i="1" s="1"/>
  <c r="R68" i="1" s="1"/>
  <c r="S68" i="1" s="1"/>
  <c r="T68" i="1" s="1"/>
  <c r="U68" i="1" s="1"/>
  <c r="V68" i="1" s="1"/>
  <c r="W68" i="1" s="1"/>
  <c r="X68" i="1" s="1"/>
  <c r="M69" i="1"/>
  <c r="P69" i="1" s="1"/>
  <c r="Q69" i="1" s="1"/>
  <c r="R69" i="1" s="1"/>
  <c r="S69" i="1" s="1"/>
  <c r="T69" i="1" s="1"/>
  <c r="U69" i="1" s="1"/>
  <c r="V69" i="1" s="1"/>
  <c r="W69" i="1" s="1"/>
  <c r="X69" i="1" s="1"/>
  <c r="M70" i="1"/>
  <c r="P70" i="1" s="1"/>
  <c r="Q70" i="1" s="1"/>
  <c r="R70" i="1" s="1"/>
  <c r="S70" i="1" s="1"/>
  <c r="T70" i="1" s="1"/>
  <c r="U70" i="1" s="1"/>
  <c r="V70" i="1" s="1"/>
  <c r="W70" i="1" s="1"/>
  <c r="X70" i="1" s="1"/>
  <c r="M71" i="1"/>
  <c r="P71" i="1" s="1"/>
  <c r="Q71" i="1" s="1"/>
  <c r="R71" i="1" s="1"/>
  <c r="S71" i="1" s="1"/>
  <c r="T71" i="1" s="1"/>
  <c r="U71" i="1" s="1"/>
  <c r="V71" i="1" s="1"/>
  <c r="W71" i="1" s="1"/>
  <c r="X71" i="1" s="1"/>
  <c r="M72" i="1"/>
  <c r="P72" i="1" s="1"/>
  <c r="Q72" i="1" s="1"/>
  <c r="R72" i="1" s="1"/>
  <c r="S72" i="1" s="1"/>
  <c r="T72" i="1" s="1"/>
  <c r="U72" i="1" s="1"/>
  <c r="V72" i="1" s="1"/>
  <c r="W72" i="1" s="1"/>
  <c r="X72" i="1" s="1"/>
  <c r="M73" i="1"/>
  <c r="P73" i="1" s="1"/>
  <c r="Q73" i="1" s="1"/>
  <c r="R73" i="1" s="1"/>
  <c r="S73" i="1" s="1"/>
  <c r="T73" i="1" s="1"/>
  <c r="U73" i="1" s="1"/>
  <c r="V73" i="1" s="1"/>
  <c r="W73" i="1" s="1"/>
  <c r="X73" i="1" s="1"/>
  <c r="M74" i="1"/>
  <c r="P74" i="1" s="1"/>
  <c r="Q74" i="1" s="1"/>
  <c r="R74" i="1" s="1"/>
  <c r="S74" i="1" s="1"/>
  <c r="T74" i="1" s="1"/>
  <c r="U74" i="1" s="1"/>
  <c r="V74" i="1" s="1"/>
  <c r="W74" i="1" s="1"/>
  <c r="X74" i="1" s="1"/>
  <c r="M75" i="1"/>
  <c r="P75" i="1" s="1"/>
  <c r="Q75" i="1" s="1"/>
  <c r="R75" i="1" s="1"/>
  <c r="S75" i="1" s="1"/>
  <c r="T75" i="1" s="1"/>
  <c r="U75" i="1" s="1"/>
  <c r="V75" i="1" s="1"/>
  <c r="W75" i="1" s="1"/>
  <c r="X75" i="1" s="1"/>
  <c r="M76" i="1"/>
  <c r="P76" i="1" s="1"/>
  <c r="Q76" i="1" s="1"/>
  <c r="R76" i="1" s="1"/>
  <c r="S76" i="1" s="1"/>
  <c r="T76" i="1" s="1"/>
  <c r="U76" i="1" s="1"/>
  <c r="V76" i="1" s="1"/>
  <c r="W76" i="1" s="1"/>
  <c r="X76" i="1" s="1"/>
  <c r="M4" i="1"/>
  <c r="P4" i="1" s="1"/>
  <c r="Q4" i="1" s="1"/>
  <c r="R4" i="1" s="1"/>
  <c r="S4" i="1" s="1"/>
  <c r="T4" i="1" s="1"/>
  <c r="U4" i="1" s="1"/>
  <c r="V4" i="1" s="1"/>
  <c r="W4" i="1" s="1"/>
  <c r="X4" i="1" s="1"/>
</calcChain>
</file>

<file path=xl/sharedStrings.xml><?xml version="1.0" encoding="utf-8"?>
<sst xmlns="http://schemas.openxmlformats.org/spreadsheetml/2006/main" count="1253" uniqueCount="165">
  <si>
    <t xml:space="preserve"> </t>
  </si>
  <si>
    <t>1</t>
  </si>
  <si>
    <t>2</t>
  </si>
  <si>
    <t xml:space="preserve">    Living resources, marine</t>
  </si>
  <si>
    <t>3</t>
  </si>
  <si>
    <t xml:space="preserve">      Commercial harvest, seafood markets, and processing</t>
  </si>
  <si>
    <t>4</t>
  </si>
  <si>
    <t xml:space="preserve">        Commercial harvest and seafood markets</t>
  </si>
  <si>
    <t>5</t>
  </si>
  <si>
    <t xml:space="preserve">        Seafood processing</t>
  </si>
  <si>
    <t>6</t>
  </si>
  <si>
    <t xml:space="preserve">      Fish-based animal foods</t>
  </si>
  <si>
    <t>7</t>
  </si>
  <si>
    <t xml:space="preserve">      Pharmaceuticals, marine-based</t>
  </si>
  <si>
    <t>8</t>
  </si>
  <si>
    <t xml:space="preserve">    Construction, coastal and marine</t>
  </si>
  <si>
    <t>9</t>
  </si>
  <si>
    <t xml:space="preserve">      Conservation</t>
  </si>
  <si>
    <t>10</t>
  </si>
  <si>
    <t xml:space="preserve">      Dredging</t>
  </si>
  <si>
    <t>11</t>
  </si>
  <si>
    <t xml:space="preserve">      Recreation facilities</t>
  </si>
  <si>
    <t>12</t>
  </si>
  <si>
    <t xml:space="preserve">    Research and education, marine</t>
  </si>
  <si>
    <t>13</t>
  </si>
  <si>
    <t xml:space="preserve">      Scientific research</t>
  </si>
  <si>
    <t>14</t>
  </si>
  <si>
    <t>15</t>
  </si>
  <si>
    <t xml:space="preserve">        Federal nondefense R&amp;D</t>
  </si>
  <si>
    <t>16</t>
  </si>
  <si>
    <t xml:space="preserve">        State and local R&amp;D</t>
  </si>
  <si>
    <t>17</t>
  </si>
  <si>
    <t xml:space="preserve">        Nonacademic R&amp;D</t>
  </si>
  <si>
    <t>18</t>
  </si>
  <si>
    <t xml:space="preserve">      Educational programs and courses</t>
  </si>
  <si>
    <t>19</t>
  </si>
  <si>
    <t xml:space="preserve">      Vocational training</t>
  </si>
  <si>
    <t>20</t>
  </si>
  <si>
    <t xml:space="preserve">      Laboratories</t>
  </si>
  <si>
    <t>21</t>
  </si>
  <si>
    <t xml:space="preserve">    Transportation and warehousing, marine</t>
  </si>
  <si>
    <t>22</t>
  </si>
  <si>
    <t xml:space="preserve">      Freight transportation</t>
  </si>
  <si>
    <t>23</t>
  </si>
  <si>
    <t xml:space="preserve">      Passenger transportation</t>
  </si>
  <si>
    <t>24</t>
  </si>
  <si>
    <t xml:space="preserve">      Warehousing and storage</t>
  </si>
  <si>
    <t>25</t>
  </si>
  <si>
    <t xml:space="preserve">    Professional and technical services, marine</t>
  </si>
  <si>
    <t>26</t>
  </si>
  <si>
    <t xml:space="preserve">    Minerals, offshore</t>
  </si>
  <si>
    <t>27</t>
  </si>
  <si>
    <t xml:space="preserve">      Oil and gas</t>
  </si>
  <si>
    <t>28</t>
  </si>
  <si>
    <t xml:space="preserve">      Sand and gravel</t>
  </si>
  <si>
    <t>29</t>
  </si>
  <si>
    <t xml:space="preserve">      Support services</t>
  </si>
  <si>
    <t>30</t>
  </si>
  <si>
    <t xml:space="preserve">    Utilities, coastal</t>
  </si>
  <si>
    <t>31</t>
  </si>
  <si>
    <t xml:space="preserve">      Traditional power generation</t>
  </si>
  <si>
    <t>32</t>
  </si>
  <si>
    <t xml:space="preserve">    Ship and boat building, nonrecreational</t>
  </si>
  <si>
    <t>33</t>
  </si>
  <si>
    <t>34</t>
  </si>
  <si>
    <t xml:space="preserve">        Barges and other nonpropelled ships</t>
  </si>
  <si>
    <t>35</t>
  </si>
  <si>
    <t xml:space="preserve">        Military ships</t>
  </si>
  <si>
    <t>36</t>
  </si>
  <si>
    <t xml:space="preserve">        Other ships</t>
  </si>
  <si>
    <t>37</t>
  </si>
  <si>
    <t>38</t>
  </si>
  <si>
    <t xml:space="preserve">        Fishing boats</t>
  </si>
  <si>
    <t>39</t>
  </si>
  <si>
    <t xml:space="preserve">        Tugboats and towboats</t>
  </si>
  <si>
    <t>40</t>
  </si>
  <si>
    <t xml:space="preserve">        Outboard motorboats</t>
  </si>
  <si>
    <t>41</t>
  </si>
  <si>
    <t xml:space="preserve">        Inboard motorboats</t>
  </si>
  <si>
    <t>42</t>
  </si>
  <si>
    <t xml:space="preserve">        Other boats</t>
  </si>
  <si>
    <t>43</t>
  </si>
  <si>
    <t xml:space="preserve">    Tourism and recreation, coastal and offshore</t>
  </si>
  <si>
    <t>44</t>
  </si>
  <si>
    <t xml:space="preserve">      Guided tours</t>
  </si>
  <si>
    <t>45</t>
  </si>
  <si>
    <t xml:space="preserve">        Water guided tours</t>
  </si>
  <si>
    <t>46</t>
  </si>
  <si>
    <t xml:space="preserve">        Other scenic tours</t>
  </si>
  <si>
    <t>47</t>
  </si>
  <si>
    <t xml:space="preserve">      Recreational fishing, offshore</t>
  </si>
  <si>
    <t>48</t>
  </si>
  <si>
    <t xml:space="preserve">      Boating and paddling, offshore</t>
  </si>
  <si>
    <t>49</t>
  </si>
  <si>
    <t xml:space="preserve">        Sailing</t>
  </si>
  <si>
    <t>50</t>
  </si>
  <si>
    <t xml:space="preserve">        Motorboating</t>
  </si>
  <si>
    <t>51</t>
  </si>
  <si>
    <t xml:space="preserve">        Canoeing</t>
  </si>
  <si>
    <t>52</t>
  </si>
  <si>
    <t xml:space="preserve">        Kayaking</t>
  </si>
  <si>
    <t>53</t>
  </si>
  <si>
    <t>54</t>
  </si>
  <si>
    <t>55</t>
  </si>
  <si>
    <t xml:space="preserve">      Other coastal recreation</t>
  </si>
  <si>
    <t>56</t>
  </si>
  <si>
    <t xml:space="preserve">        Maritime museums and cultural institutions</t>
  </si>
  <si>
    <t>57</t>
  </si>
  <si>
    <t xml:space="preserve">        Beachgoing</t>
  </si>
  <si>
    <t>58</t>
  </si>
  <si>
    <t xml:space="preserve">        Amusement parks</t>
  </si>
  <si>
    <t>59</t>
  </si>
  <si>
    <t xml:space="preserve">        Hiking and camping</t>
  </si>
  <si>
    <t>60</t>
  </si>
  <si>
    <t>61</t>
  </si>
  <si>
    <t xml:space="preserve">        Photography</t>
  </si>
  <si>
    <t>62</t>
  </si>
  <si>
    <t xml:space="preserve">        Other general expenses</t>
  </si>
  <si>
    <t>63</t>
  </si>
  <si>
    <t xml:space="preserve">      Trips and travel, coastal</t>
  </si>
  <si>
    <t>64</t>
  </si>
  <si>
    <t xml:space="preserve">        Eating and drinking places</t>
  </si>
  <si>
    <t>65</t>
  </si>
  <si>
    <t xml:space="preserve">        Hotel and lodging places</t>
  </si>
  <si>
    <t>66</t>
  </si>
  <si>
    <t xml:space="preserve">        Travel arrangement services</t>
  </si>
  <si>
    <t>67</t>
  </si>
  <si>
    <t xml:space="preserve">        Transportation services</t>
  </si>
  <si>
    <t>68</t>
  </si>
  <si>
    <t xml:space="preserve">    National defense and public administration</t>
  </si>
  <si>
    <t>69</t>
  </si>
  <si>
    <t xml:space="preserve">      National defense and coast guard</t>
  </si>
  <si>
    <t>70</t>
  </si>
  <si>
    <t xml:space="preserve">      Federal public administration</t>
  </si>
  <si>
    <t>71</t>
  </si>
  <si>
    <t xml:space="preserve">      State and local public administration</t>
  </si>
  <si>
    <t>Table 2. Marine Economy Value Added by Activity</t>
  </si>
  <si>
    <t>[Millions of current dollars]</t>
  </si>
  <si>
    <t>Table 5. Chain-Type Quantity Indexes for Marine Economy Value Added by Activity</t>
  </si>
  <si>
    <t>Table 7. Chain-Type Price Indexes for Marine Economy Value Added by Activity</t>
  </si>
  <si>
    <t xml:space="preserve">        National defense research and development (R&amp;D)</t>
  </si>
  <si>
    <t>Total marine economy</t>
  </si>
  <si>
    <t xml:space="preserve">        RVing</t>
  </si>
  <si>
    <t>Table 1. Real Marine Economy Value Added by Activity</t>
  </si>
  <si>
    <t xml:space="preserve">      Wind farms</t>
  </si>
  <si>
    <t>72</t>
  </si>
  <si>
    <t>73</t>
  </si>
  <si>
    <t>[Millions of chained (2017) dollars]</t>
  </si>
  <si>
    <t>[Based on index numbers (2017 = 100)]</t>
  </si>
  <si>
    <t>5. Consists of swimming, snorkeling, scuba diving, surfing, and related water activities.</t>
  </si>
  <si>
    <t>4. Consists of (but not limited to) hovercraft, personal watercrafts, pontoon boats, life rafts and associated expenses such as repair services, insurance, fuel, etc.</t>
  </si>
  <si>
    <t>3. Consists of government and commercial vessels not built in shipyards. Vessels include, but not limited to, commercial fishing boats, motorboats (inboard and outboard), inflatables, tour boats, sailboats, and underwater remote operated vehicles. Activity associated with the manufacture of boats and other water craft used for recreational purposes is included in tourism and recreation sector.</t>
  </si>
  <si>
    <t>2. Consists of government and commercial vessels built in shipyards. Vessels include, but not limited to, naval surface combatants, cargo ships, barges, oil drilling platforms, passenger ships, tugboats, research vessels, submarines, and fishing vessels.</t>
  </si>
  <si>
    <r>
      <t xml:space="preserve">      Other water activities</t>
    </r>
    <r>
      <rPr>
        <vertAlign val="superscript"/>
        <sz val="10"/>
        <rFont val="Arial"/>
        <family val="2"/>
      </rPr>
      <t>5</t>
    </r>
  </si>
  <si>
    <r>
      <t xml:space="preserve">        Other boating and paddling</t>
    </r>
    <r>
      <rPr>
        <vertAlign val="superscript"/>
        <sz val="10"/>
        <rFont val="Arial"/>
        <family val="2"/>
      </rPr>
      <t>4</t>
    </r>
  </si>
  <si>
    <r>
      <t xml:space="preserve">      Boat building</t>
    </r>
    <r>
      <rPr>
        <vertAlign val="superscript"/>
        <sz val="10"/>
        <rFont val="Arial"/>
        <family val="2"/>
      </rPr>
      <t>3</t>
    </r>
  </si>
  <si>
    <r>
      <t xml:space="preserve">      Ship building</t>
    </r>
    <r>
      <rPr>
        <vertAlign val="superscript"/>
        <sz val="10"/>
        <rFont val="Arial"/>
        <family val="2"/>
      </rPr>
      <t>2</t>
    </r>
  </si>
  <si>
    <r>
      <t xml:space="preserve">      Alternative power generation</t>
    </r>
    <r>
      <rPr>
        <vertAlign val="superscript"/>
        <sz val="10"/>
        <rFont val="Arial"/>
        <family val="2"/>
      </rPr>
      <t>1</t>
    </r>
  </si>
  <si>
    <t>Table 3. Marine Economy Value Added by Activity as a Percentage of Gross Domestic Product</t>
  </si>
  <si>
    <t>Table 4. Marine Economy Value Added by Activity as a Percentage of Total Marine Economy Value Added</t>
  </si>
  <si>
    <t>Table 6. Percent Changes in Chain-Type Quantity Indexes for Marine Economy Value Added by Activity</t>
  </si>
  <si>
    <t>Table 8. Percent Changes in Chain-Type Price Indexes for Marine Economy Value Added by Activity</t>
  </si>
  <si>
    <t>1. Consists solely of offshore wind-generated energy.</t>
  </si>
  <si>
    <t>…</t>
  </si>
  <si>
    <t>Compound Annual Average Growth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</si>
</sst>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
  </numFmts>
  <fonts count="10" x14ac:knownFonts="1">
    <font>
      <sz val="10"/>
      <name val="Arial"/>
    </font>
    <font>
      <b/>
      <sz val="14"/>
      <name val="Arial"/>
      <family val="2"/>
    </font>
    <font>
      <sz val="13"/>
      <name val="Arial"/>
      <family val="2"/>
    </font>
    <font>
      <b/>
      <sz val="10"/>
      <name val="Arial"/>
      <family val="2"/>
    </font>
    <font>
      <sz val="10"/>
      <name val="Arial"/>
      <family val="2"/>
    </font>
    <font>
      <vertAlign val="superscript"/>
      <sz val="10"/>
      <name val="Arial"/>
      <family val="2"/>
    </font>
    <font>
      <sz val="8"/>
      <name val="Arial"/>
      <family val="2"/>
    </font>
    <font>
      <sz val="8"/>
      <name val="Arial"/>
      <family val="2"/>
    </font>
    <font>
      <sz val="10"/>
      <name val="Arial"/>
    </font>
    <font>
      <b/>
      <sz val="10"/>
      <color rgb="FFFF0000"/>
      <name val="Arial"/>
      <family val="2"/>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indexed="64"/>
      </top>
      <bottom/>
      <diagonal/>
    </border>
  </borders>
  <cellStyleXfs count="2">
    <xf numFmtId="0" fontId="0" fillId="0" borderId="0"/>
    <xf numFmtId="9" fontId="8" fillId="0" borderId="0" applyFont="0" applyFill="0" applyBorder="0" applyAlignment="0" applyProtection="0"/>
  </cellStyleXfs>
  <cellXfs count="29">
    <xf numFmtId="0" fontId="0" fillId="0" borderId="0" xfId="0"/>
    <xf numFmtId="164" fontId="3" fillId="0" borderId="0" xfId="0" applyNumberFormat="1" applyFont="1"/>
    <xf numFmtId="165" fontId="0" fillId="0" borderId="0" xfId="0" applyNumberFormat="1"/>
    <xf numFmtId="165" fontId="3" fillId="0" borderId="0" xfId="0" applyNumberFormat="1" applyFont="1"/>
    <xf numFmtId="3" fontId="3" fillId="0" borderId="0" xfId="0" applyNumberFormat="1" applyFont="1"/>
    <xf numFmtId="3" fontId="0" fillId="0" borderId="0" xfId="0" applyNumberFormat="1"/>
    <xf numFmtId="0" fontId="4" fillId="0" borderId="0" xfId="0" applyFont="1"/>
    <xf numFmtId="0" fontId="0" fillId="0" borderId="1" xfId="0" applyBorder="1"/>
    <xf numFmtId="3" fontId="0" fillId="0" borderId="1" xfId="0" applyNumberFormat="1" applyBorder="1"/>
    <xf numFmtId="165" fontId="0" fillId="0" borderId="1" xfId="0" applyNumberFormat="1" applyBorder="1"/>
    <xf numFmtId="0" fontId="3" fillId="0" borderId="1" xfId="0" applyFont="1" applyBorder="1" applyAlignment="1">
      <alignment horizontal="center"/>
    </xf>
    <xf numFmtId="0" fontId="4" fillId="0" borderId="0" xfId="0" applyFont="1" applyAlignment="1">
      <alignment vertical="center"/>
    </xf>
    <xf numFmtId="164" fontId="0" fillId="0" borderId="1" xfId="0" applyNumberFormat="1" applyBorder="1"/>
    <xf numFmtId="164" fontId="0" fillId="0" borderId="0" xfId="0" applyNumberFormat="1"/>
    <xf numFmtId="0" fontId="4" fillId="0" borderId="0" xfId="0" applyFont="1" applyAlignment="1">
      <alignment vertical="center" wrapText="1"/>
    </xf>
    <xf numFmtId="0" fontId="0" fillId="0" borderId="0" xfId="0" applyAlignment="1">
      <alignment vertical="center"/>
    </xf>
    <xf numFmtId="3" fontId="0" fillId="0" borderId="0" xfId="0" applyNumberFormat="1" applyAlignment="1">
      <alignment horizontal="right"/>
    </xf>
    <xf numFmtId="0" fontId="4" fillId="0" borderId="0" xfId="0" applyFont="1" applyAlignment="1">
      <alignment vertical="center" wrapText="1"/>
    </xf>
    <xf numFmtId="0" fontId="1" fillId="0" borderId="0" xfId="0" applyFont="1" applyAlignment="1">
      <alignment horizontal="center"/>
    </xf>
    <xf numFmtId="0" fontId="2" fillId="0" borderId="0" xfId="0" applyFont="1" applyAlignment="1">
      <alignment horizontal="center"/>
    </xf>
    <xf numFmtId="0" fontId="4" fillId="0" borderId="2" xfId="0" applyFont="1" applyBorder="1" applyAlignment="1">
      <alignment horizontal="left" vertical="center"/>
    </xf>
    <xf numFmtId="0" fontId="0" fillId="0" borderId="2" xfId="0" applyBorder="1" applyAlignment="1">
      <alignment horizontal="left" vertical="center"/>
    </xf>
    <xf numFmtId="0" fontId="0" fillId="0" borderId="0" xfId="0" applyAlignment="1">
      <alignment horizontal="center"/>
    </xf>
    <xf numFmtId="0" fontId="4" fillId="0" borderId="2" xfId="0" applyFont="1" applyBorder="1" applyAlignment="1">
      <alignment vertical="center"/>
    </xf>
    <xf numFmtId="0" fontId="0" fillId="0" borderId="2" xfId="0" applyBorder="1" applyAlignment="1">
      <alignment vertical="center"/>
    </xf>
    <xf numFmtId="166" fontId="0" fillId="0" borderId="0" xfId="1" applyNumberFormat="1" applyFont="1"/>
    <xf numFmtId="0" fontId="9" fillId="0" borderId="0" xfId="0" applyFont="1"/>
    <xf numFmtId="3" fontId="9" fillId="0" borderId="0" xfId="0" applyNumberFormat="1" applyFont="1"/>
    <xf numFmtId="166" fontId="9" fillId="0" borderId="0" xfId="1" applyNumberFormat="1"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ED319-24EF-4634-A944-AB19AD7CF82D}">
  <dimension ref="A1:X81"/>
  <sheetViews>
    <sheetView tabSelected="1" workbookViewId="0">
      <pane ySplit="3" topLeftCell="A51" activePane="bottomLeft" state="frozen"/>
      <selection sqref="A1:L1"/>
      <selection pane="bottomLeft" sqref="A1:M81"/>
    </sheetView>
  </sheetViews>
  <sheetFormatPr defaultRowHeight="12.75" x14ac:dyDescent="0.2"/>
  <cols>
    <col min="1" max="1" width="9.140625" hidden="1" customWidth="1"/>
    <col min="2" max="2" width="70.7109375" customWidth="1"/>
    <col min="3" max="12" width="9.7109375" customWidth="1"/>
  </cols>
  <sheetData>
    <row r="1" spans="1:24" ht="18" x14ac:dyDescent="0.25">
      <c r="A1" s="18" t="s">
        <v>143</v>
      </c>
      <c r="B1" s="18"/>
      <c r="C1" s="18"/>
      <c r="D1" s="18"/>
      <c r="E1" s="18"/>
      <c r="F1" s="18"/>
      <c r="G1" s="18"/>
      <c r="H1" s="18"/>
      <c r="I1" s="18"/>
      <c r="J1" s="18"/>
      <c r="K1" s="18"/>
      <c r="L1" s="18"/>
    </row>
    <row r="2" spans="1:24" ht="16.5" customHeight="1" x14ac:dyDescent="0.25">
      <c r="A2" s="19" t="s">
        <v>147</v>
      </c>
      <c r="B2" s="19"/>
      <c r="C2" s="19"/>
      <c r="D2" s="19"/>
      <c r="E2" s="19"/>
      <c r="F2" s="19"/>
      <c r="G2" s="19"/>
      <c r="H2" s="19"/>
      <c r="I2" s="19"/>
      <c r="J2" s="19"/>
      <c r="K2" s="19"/>
      <c r="L2" s="19"/>
    </row>
    <row r="3" spans="1:24" x14ac:dyDescent="0.2">
      <c r="A3" s="10" t="s">
        <v>0</v>
      </c>
      <c r="B3" s="10" t="s">
        <v>0</v>
      </c>
      <c r="C3" s="10">
        <v>2014</v>
      </c>
      <c r="D3" s="10">
        <v>2015</v>
      </c>
      <c r="E3" s="10">
        <v>2016</v>
      </c>
      <c r="F3" s="10">
        <v>2017</v>
      </c>
      <c r="G3" s="10">
        <v>2018</v>
      </c>
      <c r="H3" s="10">
        <v>2019</v>
      </c>
      <c r="I3" s="10">
        <v>2020</v>
      </c>
      <c r="J3" s="10">
        <v>2021</v>
      </c>
      <c r="K3" s="10">
        <v>2022</v>
      </c>
      <c r="L3" s="10">
        <v>2023</v>
      </c>
      <c r="M3" t="s">
        <v>164</v>
      </c>
      <c r="O3">
        <f>C3</f>
        <v>2014</v>
      </c>
      <c r="P3">
        <f>D3</f>
        <v>2015</v>
      </c>
      <c r="Q3">
        <f>E3</f>
        <v>2016</v>
      </c>
      <c r="R3">
        <f t="shared" ref="R3:X3" si="0">F3</f>
        <v>2017</v>
      </c>
      <c r="S3">
        <f t="shared" si="0"/>
        <v>2018</v>
      </c>
      <c r="T3">
        <f t="shared" si="0"/>
        <v>2019</v>
      </c>
      <c r="U3">
        <f t="shared" si="0"/>
        <v>2020</v>
      </c>
      <c r="V3">
        <f t="shared" si="0"/>
        <v>2021</v>
      </c>
      <c r="W3">
        <f t="shared" si="0"/>
        <v>2022</v>
      </c>
      <c r="X3">
        <f t="shared" si="0"/>
        <v>2023</v>
      </c>
    </row>
    <row r="4" spans="1:24" x14ac:dyDescent="0.2">
      <c r="A4" s="1" t="s">
        <v>1</v>
      </c>
      <c r="B4" s="1" t="s">
        <v>141</v>
      </c>
      <c r="C4" s="4">
        <v>359673</v>
      </c>
      <c r="D4" s="4">
        <v>362003</v>
      </c>
      <c r="E4" s="4">
        <v>359779</v>
      </c>
      <c r="F4" s="4">
        <v>362636</v>
      </c>
      <c r="G4" s="4">
        <v>363398</v>
      </c>
      <c r="H4" s="4">
        <v>368836</v>
      </c>
      <c r="I4" s="4">
        <v>349448</v>
      </c>
      <c r="J4" s="4">
        <v>385095</v>
      </c>
      <c r="K4" s="4">
        <v>395624</v>
      </c>
      <c r="L4" s="4">
        <v>407116</v>
      </c>
      <c r="M4" s="25">
        <f>(L4/C4)^(1/9)-1</f>
        <v>1.3862187079272337E-2</v>
      </c>
      <c r="O4">
        <f t="shared" ref="O4:O67" si="1">C4</f>
        <v>359673</v>
      </c>
      <c r="P4">
        <f>C4*(1+M4)</f>
        <v>364658.85441336309</v>
      </c>
      <c r="Q4">
        <f>P4*(1+$M4)</f>
        <v>369713.82367335429</v>
      </c>
      <c r="R4">
        <f t="shared" ref="R4:X4" si="2">Q4*(1+$M4)</f>
        <v>374838.86586290743</v>
      </c>
      <c r="S4">
        <f t="shared" si="2"/>
        <v>380034.95234608132</v>
      </c>
      <c r="T4">
        <f t="shared" si="2"/>
        <v>385303.06795216503</v>
      </c>
      <c r="U4">
        <f t="shared" si="2"/>
        <v>390644.21116233553</v>
      </c>
      <c r="V4">
        <f t="shared" si="2"/>
        <v>396059.3942989026</v>
      </c>
      <c r="W4">
        <f t="shared" si="2"/>
        <v>401549.64371717727</v>
      </c>
      <c r="X4">
        <f t="shared" si="2"/>
        <v>407115.99999999994</v>
      </c>
    </row>
    <row r="5" spans="1:24" x14ac:dyDescent="0.2">
      <c r="A5" t="s">
        <v>2</v>
      </c>
      <c r="B5" t="s">
        <v>3</v>
      </c>
      <c r="C5" s="5">
        <v>12159</v>
      </c>
      <c r="D5" s="5">
        <v>13470</v>
      </c>
      <c r="E5" s="5">
        <v>14062</v>
      </c>
      <c r="F5" s="5">
        <v>15357</v>
      </c>
      <c r="G5" s="5">
        <v>14981</v>
      </c>
      <c r="H5" s="5">
        <v>15411</v>
      </c>
      <c r="I5" s="5">
        <v>16632</v>
      </c>
      <c r="J5" s="5">
        <v>18784</v>
      </c>
      <c r="K5" s="5">
        <v>18573</v>
      </c>
      <c r="L5" s="5">
        <v>20199</v>
      </c>
      <c r="M5" s="25">
        <f t="shared" ref="M5:M68" si="3">(L5/C5)^(1/9)-1</f>
        <v>5.8016512098798767E-2</v>
      </c>
      <c r="O5">
        <f t="shared" si="1"/>
        <v>12159</v>
      </c>
      <c r="P5">
        <f t="shared" ref="P5:P68" si="4">C5*(1+M5)</f>
        <v>12864.422770609293</v>
      </c>
      <c r="Q5">
        <f t="shared" ref="Q5:X5" si="5">P5*(1+$M5)</f>
        <v>13610.771709924409</v>
      </c>
      <c r="R5">
        <f t="shared" si="5"/>
        <v>14400.421211507226</v>
      </c>
      <c r="S5">
        <f t="shared" si="5"/>
        <v>15235.883422952433</v>
      </c>
      <c r="T5">
        <f t="shared" si="5"/>
        <v>16119.816237896041</v>
      </c>
      <c r="U5">
        <f t="shared" si="5"/>
        <v>17055.03175169235</v>
      </c>
      <c r="V5">
        <f t="shared" si="5"/>
        <v>18044.505207659808</v>
      </c>
      <c r="W5">
        <f t="shared" si="5"/>
        <v>19091.38446235684</v>
      </c>
      <c r="X5">
        <f t="shared" si="5"/>
        <v>20198.999999999985</v>
      </c>
    </row>
    <row r="6" spans="1:24" x14ac:dyDescent="0.2">
      <c r="A6" t="s">
        <v>4</v>
      </c>
      <c r="B6" t="s">
        <v>5</v>
      </c>
      <c r="C6" s="5">
        <v>11472</v>
      </c>
      <c r="D6" s="5">
        <v>12573</v>
      </c>
      <c r="E6" s="5">
        <v>13063</v>
      </c>
      <c r="F6" s="5">
        <v>14065</v>
      </c>
      <c r="G6" s="5">
        <v>13421</v>
      </c>
      <c r="H6" s="5">
        <v>13472</v>
      </c>
      <c r="I6" s="5">
        <v>13674</v>
      </c>
      <c r="J6" s="5">
        <v>14173</v>
      </c>
      <c r="K6" s="5">
        <v>13260</v>
      </c>
      <c r="L6" s="5">
        <v>13674</v>
      </c>
      <c r="M6" s="25">
        <f t="shared" si="3"/>
        <v>1.9701216632208807E-2</v>
      </c>
      <c r="O6">
        <f t="shared" si="1"/>
        <v>11472</v>
      </c>
      <c r="P6">
        <f t="shared" si="4"/>
        <v>11698.0123572047</v>
      </c>
      <c r="Q6">
        <f t="shared" ref="Q6:X6" si="6">P6*(1+$M6)</f>
        <v>11928.477432820246</v>
      </c>
      <c r="R6">
        <f t="shared" si="6"/>
        <v>12163.482950816651</v>
      </c>
      <c r="S6">
        <f t="shared" si="6"/>
        <v>12403.118363432868</v>
      </c>
      <c r="T6">
        <f t="shared" si="6"/>
        <v>12647.474885225785</v>
      </c>
      <c r="U6">
        <f t="shared" si="6"/>
        <v>12896.645527790039</v>
      </c>
      <c r="V6">
        <f t="shared" si="6"/>
        <v>13150.725135161838</v>
      </c>
      <c r="W6">
        <f t="shared" si="6"/>
        <v>13409.810419920295</v>
      </c>
      <c r="X6">
        <f t="shared" si="6"/>
        <v>13673.999999999996</v>
      </c>
    </row>
    <row r="7" spans="1:24" x14ac:dyDescent="0.2">
      <c r="A7" t="s">
        <v>6</v>
      </c>
      <c r="B7" t="s">
        <v>7</v>
      </c>
      <c r="C7" s="5">
        <v>6900</v>
      </c>
      <c r="D7" s="5">
        <v>7361</v>
      </c>
      <c r="E7" s="5">
        <v>8018</v>
      </c>
      <c r="F7" s="5">
        <v>8607</v>
      </c>
      <c r="G7" s="5">
        <v>8271</v>
      </c>
      <c r="H7" s="5">
        <v>8414</v>
      </c>
      <c r="I7" s="5">
        <v>8157</v>
      </c>
      <c r="J7" s="5">
        <v>8551</v>
      </c>
      <c r="K7" s="5">
        <v>7942</v>
      </c>
      <c r="L7" s="5">
        <v>8052</v>
      </c>
      <c r="M7" s="25">
        <f t="shared" si="3"/>
        <v>1.7303455074996421E-2</v>
      </c>
      <c r="O7">
        <f t="shared" si="1"/>
        <v>6900</v>
      </c>
      <c r="P7">
        <f t="shared" si="4"/>
        <v>7019.3938400174757</v>
      </c>
      <c r="Q7">
        <f t="shared" ref="Q7:X7" si="7">P7*(1+$M7)</f>
        <v>7140.8536059819244</v>
      </c>
      <c r="R7">
        <f t="shared" si="7"/>
        <v>7264.4150455501585</v>
      </c>
      <c r="S7">
        <f t="shared" si="7"/>
        <v>7390.1145249369638</v>
      </c>
      <c r="T7">
        <f t="shared" si="7"/>
        <v>7517.9890396182891</v>
      </c>
      <c r="U7">
        <f t="shared" si="7"/>
        <v>7648.07622521964</v>
      </c>
      <c r="V7">
        <f t="shared" si="7"/>
        <v>7780.4143685928766</v>
      </c>
      <c r="W7">
        <f t="shared" si="7"/>
        <v>7915.0424190846798</v>
      </c>
      <c r="X7">
        <f t="shared" si="7"/>
        <v>8052.0000000000027</v>
      </c>
    </row>
    <row r="8" spans="1:24" x14ac:dyDescent="0.2">
      <c r="A8" t="s">
        <v>8</v>
      </c>
      <c r="B8" t="s">
        <v>9</v>
      </c>
      <c r="C8" s="5">
        <v>4568</v>
      </c>
      <c r="D8" s="5">
        <v>5217</v>
      </c>
      <c r="E8" s="5">
        <v>5044</v>
      </c>
      <c r="F8" s="5">
        <v>5458</v>
      </c>
      <c r="G8" s="5">
        <v>5150</v>
      </c>
      <c r="H8" s="5">
        <v>5063</v>
      </c>
      <c r="I8" s="5">
        <v>5484</v>
      </c>
      <c r="J8" s="5">
        <v>5593</v>
      </c>
      <c r="K8" s="5">
        <v>5292</v>
      </c>
      <c r="L8" s="5">
        <v>5594</v>
      </c>
      <c r="M8" s="25">
        <f t="shared" si="3"/>
        <v>2.276857126080345E-2</v>
      </c>
      <c r="O8">
        <f t="shared" si="1"/>
        <v>4568</v>
      </c>
      <c r="P8">
        <f t="shared" si="4"/>
        <v>4672.00683351935</v>
      </c>
      <c r="Q8">
        <f t="shared" ref="Q8:X8" si="8">P8*(1+$M8)</f>
        <v>4778.3817540392956</v>
      </c>
      <c r="R8">
        <f t="shared" si="8"/>
        <v>4887.1786795174621</v>
      </c>
      <c r="S8">
        <f t="shared" si="8"/>
        <v>4998.4527555463346</v>
      </c>
      <c r="T8">
        <f t="shared" si="8"/>
        <v>5112.2603833047506</v>
      </c>
      <c r="U8">
        <f t="shared" si="8"/>
        <v>5228.6592481458074</v>
      </c>
      <c r="V8">
        <f t="shared" si="8"/>
        <v>5347.7083488356739</v>
      </c>
      <c r="W8">
        <f t="shared" si="8"/>
        <v>5469.4680274581324</v>
      </c>
      <c r="X8">
        <f t="shared" si="8"/>
        <v>5593.9999999999991</v>
      </c>
    </row>
    <row r="9" spans="1:24" x14ac:dyDescent="0.2">
      <c r="A9" t="s">
        <v>10</v>
      </c>
      <c r="B9" t="s">
        <v>11</v>
      </c>
      <c r="C9" s="5">
        <v>47</v>
      </c>
      <c r="D9" s="5">
        <v>65</v>
      </c>
      <c r="E9" s="5">
        <v>69</v>
      </c>
      <c r="F9" s="5">
        <v>47</v>
      </c>
      <c r="G9" s="5">
        <v>47</v>
      </c>
      <c r="H9" s="5">
        <v>43</v>
      </c>
      <c r="I9" s="5">
        <v>48</v>
      </c>
      <c r="J9" s="5">
        <v>39</v>
      </c>
      <c r="K9" s="5">
        <v>36</v>
      </c>
      <c r="L9" s="5">
        <v>48</v>
      </c>
      <c r="M9" s="25">
        <f t="shared" si="3"/>
        <v>2.3420059100356383E-3</v>
      </c>
      <c r="O9">
        <f t="shared" si="1"/>
        <v>47</v>
      </c>
      <c r="P9">
        <f t="shared" si="4"/>
        <v>47.110074277771673</v>
      </c>
      <c r="Q9">
        <f t="shared" ref="Q9:X9" si="9">P9*(1+$M9)</f>
        <v>47.22040635015243</v>
      </c>
      <c r="R9">
        <f t="shared" si="9"/>
        <v>47.330996820898768</v>
      </c>
      <c r="S9">
        <f t="shared" si="9"/>
        <v>47.441846295181193</v>
      </c>
      <c r="T9">
        <f t="shared" si="9"/>
        <v>47.552955379587509</v>
      </c>
      <c r="U9">
        <f t="shared" si="9"/>
        <v>47.664324682126164</v>
      </c>
      <c r="V9">
        <f t="shared" si="9"/>
        <v>47.775954812229564</v>
      </c>
      <c r="W9">
        <f t="shared" si="9"/>
        <v>47.887846380757402</v>
      </c>
      <c r="X9">
        <f t="shared" si="9"/>
        <v>48.000000000000014</v>
      </c>
    </row>
    <row r="10" spans="1:24" x14ac:dyDescent="0.2">
      <c r="A10" t="s">
        <v>12</v>
      </c>
      <c r="B10" s="26" t="s">
        <v>13</v>
      </c>
      <c r="C10" s="27">
        <v>646</v>
      </c>
      <c r="D10" s="27">
        <v>838</v>
      </c>
      <c r="E10" s="27">
        <v>933</v>
      </c>
      <c r="F10" s="27">
        <v>1245</v>
      </c>
      <c r="G10" s="27">
        <v>1515</v>
      </c>
      <c r="H10" s="27">
        <v>1900</v>
      </c>
      <c r="I10" s="27">
        <v>2896</v>
      </c>
      <c r="J10" s="27">
        <v>4577</v>
      </c>
      <c r="K10" s="27">
        <v>5376</v>
      </c>
      <c r="L10" s="27">
        <v>6716</v>
      </c>
      <c r="M10" s="28">
        <f t="shared" si="3"/>
        <v>0.29713883923377815</v>
      </c>
      <c r="O10">
        <f t="shared" si="1"/>
        <v>646</v>
      </c>
      <c r="P10">
        <f t="shared" si="4"/>
        <v>837.95169014502073</v>
      </c>
      <c r="Q10">
        <f t="shared" ref="Q10:X10" si="10">P10*(1+$M10)</f>
        <v>1086.9396826886948</v>
      </c>
      <c r="R10">
        <f t="shared" si="10"/>
        <v>1409.9116783199447</v>
      </c>
      <c r="S10">
        <f t="shared" si="10"/>
        <v>1828.8511978380811</v>
      </c>
      <c r="T10">
        <f t="shared" si="10"/>
        <v>2372.2739198949935</v>
      </c>
      <c r="U10">
        <f t="shared" si="10"/>
        <v>3077.1686387971567</v>
      </c>
      <c r="V10">
        <f t="shared" si="10"/>
        <v>3991.5149562559291</v>
      </c>
      <c r="W10">
        <f t="shared" si="10"/>
        <v>5177.5490771420809</v>
      </c>
      <c r="X10">
        <f t="shared" si="10"/>
        <v>6715.9999999999982</v>
      </c>
    </row>
    <row r="11" spans="1:24" x14ac:dyDescent="0.2">
      <c r="A11" t="s">
        <v>14</v>
      </c>
      <c r="B11" t="s">
        <v>15</v>
      </c>
      <c r="C11" s="5">
        <v>3510</v>
      </c>
      <c r="D11" s="5">
        <v>3740</v>
      </c>
      <c r="E11" s="5">
        <v>4505</v>
      </c>
      <c r="F11" s="5">
        <v>4694</v>
      </c>
      <c r="G11" s="5">
        <v>4402</v>
      </c>
      <c r="H11" s="5">
        <v>5359</v>
      </c>
      <c r="I11" s="5">
        <v>5225</v>
      </c>
      <c r="J11" s="5">
        <v>4513</v>
      </c>
      <c r="K11" s="5">
        <v>4630</v>
      </c>
      <c r="L11" s="5">
        <v>5031</v>
      </c>
      <c r="M11" s="25">
        <f t="shared" si="3"/>
        <v>4.0811090371252412E-2</v>
      </c>
      <c r="O11">
        <f t="shared" si="1"/>
        <v>3510</v>
      </c>
      <c r="P11">
        <f t="shared" si="4"/>
        <v>3653.2469272030958</v>
      </c>
      <c r="Q11">
        <f t="shared" ref="Q11:X11" si="11">P11*(1+$M11)</f>
        <v>3802.3399176976814</v>
      </c>
      <c r="R11">
        <f t="shared" si="11"/>
        <v>3957.5175557010621</v>
      </c>
      <c r="S11">
        <f t="shared" si="11"/>
        <v>4119.0281623125957</v>
      </c>
      <c r="T11">
        <f t="shared" si="11"/>
        <v>4287.1301928864686</v>
      </c>
      <c r="U11">
        <f t="shared" si="11"/>
        <v>4462.0926506216829</v>
      </c>
      <c r="V11">
        <f t="shared" si="11"/>
        <v>4644.1955170311057</v>
      </c>
      <c r="W11">
        <f t="shared" si="11"/>
        <v>4833.7301999784277</v>
      </c>
      <c r="X11">
        <f t="shared" si="11"/>
        <v>5030.9999999999991</v>
      </c>
    </row>
    <row r="12" spans="1:24" x14ac:dyDescent="0.2">
      <c r="A12" t="s">
        <v>16</v>
      </c>
      <c r="B12" t="s">
        <v>17</v>
      </c>
      <c r="C12" s="5">
        <v>2157</v>
      </c>
      <c r="D12" s="5">
        <v>2400</v>
      </c>
      <c r="E12" s="5">
        <v>3153</v>
      </c>
      <c r="F12" s="5">
        <v>3477</v>
      </c>
      <c r="G12" s="5">
        <v>3006</v>
      </c>
      <c r="H12" s="5">
        <v>3185</v>
      </c>
      <c r="I12" s="5">
        <v>3244</v>
      </c>
      <c r="J12" s="5">
        <v>2644</v>
      </c>
      <c r="K12" s="5">
        <v>2749</v>
      </c>
      <c r="L12" s="5">
        <v>3235</v>
      </c>
      <c r="M12" s="25">
        <f t="shared" si="3"/>
        <v>4.6063955529611178E-2</v>
      </c>
      <c r="O12">
        <f t="shared" si="1"/>
        <v>2157</v>
      </c>
      <c r="P12">
        <f t="shared" si="4"/>
        <v>2256.3599520773714</v>
      </c>
      <c r="Q12">
        <f t="shared" ref="Q12:X12" si="12">P12*(1+$M12)</f>
        <v>2360.2968165686589</v>
      </c>
      <c r="R12">
        <f t="shared" si="12"/>
        <v>2469.0214241637605</v>
      </c>
      <c r="S12">
        <f t="shared" si="12"/>
        <v>2582.7543172480973</v>
      </c>
      <c r="T12">
        <f t="shared" si="12"/>
        <v>2701.7261972617248</v>
      </c>
      <c r="U12">
        <f t="shared" si="12"/>
        <v>2826.1783926655744</v>
      </c>
      <c r="V12">
        <f t="shared" si="12"/>
        <v>2956.3633484640695</v>
      </c>
      <c r="W12">
        <f t="shared" si="12"/>
        <v>3092.5451382770907</v>
      </c>
      <c r="X12">
        <f t="shared" si="12"/>
        <v>3235.0000000000018</v>
      </c>
    </row>
    <row r="13" spans="1:24" x14ac:dyDescent="0.2">
      <c r="A13" t="s">
        <v>18</v>
      </c>
      <c r="B13" t="s">
        <v>19</v>
      </c>
      <c r="C13" s="5">
        <v>170</v>
      </c>
      <c r="D13" s="5">
        <v>181</v>
      </c>
      <c r="E13" s="5">
        <v>247</v>
      </c>
      <c r="F13" s="5">
        <v>217</v>
      </c>
      <c r="G13" s="5">
        <v>258</v>
      </c>
      <c r="H13" s="5">
        <v>623</v>
      </c>
      <c r="I13" s="5">
        <v>571</v>
      </c>
      <c r="J13" s="5">
        <v>570</v>
      </c>
      <c r="K13" s="5">
        <v>486</v>
      </c>
      <c r="L13" s="5">
        <v>378</v>
      </c>
      <c r="M13" s="25">
        <f t="shared" si="3"/>
        <v>9.2849404183538597E-2</v>
      </c>
      <c r="O13">
        <f t="shared" si="1"/>
        <v>170</v>
      </c>
      <c r="P13">
        <f t="shared" si="4"/>
        <v>185.78439871120156</v>
      </c>
      <c r="Q13">
        <f t="shared" ref="Q13:X13" si="13">P13*(1+$M13)</f>
        <v>203.03436943813361</v>
      </c>
      <c r="R13">
        <f t="shared" si="13"/>
        <v>221.88598966924476</v>
      </c>
      <c r="S13">
        <f t="shared" si="13"/>
        <v>242.48797160670895</v>
      </c>
      <c r="T13">
        <f t="shared" si="13"/>
        <v>265.00283529206672</v>
      </c>
      <c r="U13">
        <f t="shared" si="13"/>
        <v>289.6081906558835</v>
      </c>
      <c r="V13">
        <f t="shared" si="13"/>
        <v>316.49813860495493</v>
      </c>
      <c r="W13">
        <f t="shared" si="13"/>
        <v>345.884802199624</v>
      </c>
      <c r="X13">
        <f t="shared" si="13"/>
        <v>378.00000000000017</v>
      </c>
    </row>
    <row r="14" spans="1:24" x14ac:dyDescent="0.2">
      <c r="A14" t="s">
        <v>20</v>
      </c>
      <c r="B14" t="s">
        <v>21</v>
      </c>
      <c r="C14" s="5">
        <v>1115</v>
      </c>
      <c r="D14" s="5">
        <v>1076</v>
      </c>
      <c r="E14" s="5">
        <v>1011</v>
      </c>
      <c r="F14" s="5">
        <v>882</v>
      </c>
      <c r="G14" s="5">
        <v>1013</v>
      </c>
      <c r="H14" s="5">
        <v>1428</v>
      </c>
      <c r="I14" s="5">
        <v>1271</v>
      </c>
      <c r="J14" s="5">
        <v>1176</v>
      </c>
      <c r="K14" s="5">
        <v>1263</v>
      </c>
      <c r="L14" s="5">
        <v>1271</v>
      </c>
      <c r="M14" s="25">
        <f t="shared" si="3"/>
        <v>1.4656319973256782E-2</v>
      </c>
      <c r="O14">
        <f t="shared" si="1"/>
        <v>1115</v>
      </c>
      <c r="P14">
        <f t="shared" si="4"/>
        <v>1131.3417967701814</v>
      </c>
      <c r="Q14">
        <f t="shared" ref="Q14:X14" si="14">P14*(1+$M14)</f>
        <v>1147.9231041427645</v>
      </c>
      <c r="R14">
        <f t="shared" si="14"/>
        <v>1164.7474324617749</v>
      </c>
      <c r="S14">
        <f t="shared" si="14"/>
        <v>1181.8183435199639</v>
      </c>
      <c r="T14">
        <f t="shared" si="14"/>
        <v>1199.1394513128569</v>
      </c>
      <c r="U14">
        <f t="shared" si="14"/>
        <v>1216.7144228038537</v>
      </c>
      <c r="V14">
        <f t="shared" si="14"/>
        <v>1234.5469787005434</v>
      </c>
      <c r="W14">
        <f t="shared" si="14"/>
        <v>1252.6408942423959</v>
      </c>
      <c r="X14">
        <f t="shared" si="14"/>
        <v>1270.9999999999991</v>
      </c>
    </row>
    <row r="15" spans="1:24" x14ac:dyDescent="0.2">
      <c r="A15" t="s">
        <v>22</v>
      </c>
      <c r="B15" t="s">
        <v>144</v>
      </c>
      <c r="C15" s="5">
        <v>79</v>
      </c>
      <c r="D15" s="5">
        <v>89</v>
      </c>
      <c r="E15" s="5">
        <v>95</v>
      </c>
      <c r="F15" s="5">
        <v>118</v>
      </c>
      <c r="G15" s="5">
        <v>125</v>
      </c>
      <c r="H15" s="5">
        <v>118</v>
      </c>
      <c r="I15" s="5">
        <v>139</v>
      </c>
      <c r="J15" s="5">
        <v>120</v>
      </c>
      <c r="K15" s="5">
        <v>129</v>
      </c>
      <c r="L15" s="5">
        <v>143</v>
      </c>
      <c r="M15" s="25">
        <f t="shared" si="3"/>
        <v>6.815512200111673E-2</v>
      </c>
      <c r="O15">
        <f t="shared" si="1"/>
        <v>79</v>
      </c>
      <c r="P15">
        <f t="shared" si="4"/>
        <v>84.384254638088223</v>
      </c>
      <c r="Q15">
        <f t="shared" ref="Q15:X15" si="15">P15*(1+$M15)</f>
        <v>90.13547380792042</v>
      </c>
      <c r="R15">
        <f t="shared" si="15"/>
        <v>96.2786680219277</v>
      </c>
      <c r="S15">
        <f t="shared" si="15"/>
        <v>102.84055238706721</v>
      </c>
      <c r="T15">
        <f t="shared" si="15"/>
        <v>109.84966278167001</v>
      </c>
      <c r="U15">
        <f t="shared" si="15"/>
        <v>117.33647995033625</v>
      </c>
      <c r="V15">
        <f t="shared" si="15"/>
        <v>125.33356205653301</v>
      </c>
      <c r="W15">
        <f t="shared" si="15"/>
        <v>133.87568626933054</v>
      </c>
      <c r="X15">
        <f t="shared" si="15"/>
        <v>143</v>
      </c>
    </row>
    <row r="16" spans="1:24" x14ac:dyDescent="0.2">
      <c r="A16" t="s">
        <v>24</v>
      </c>
      <c r="B16" t="s">
        <v>23</v>
      </c>
      <c r="C16" s="5">
        <v>5920</v>
      </c>
      <c r="D16" s="5">
        <v>6222</v>
      </c>
      <c r="E16" s="5">
        <v>6209</v>
      </c>
      <c r="F16" s="5">
        <v>6173</v>
      </c>
      <c r="G16" s="5">
        <v>6212</v>
      </c>
      <c r="H16" s="5">
        <v>6489</v>
      </c>
      <c r="I16" s="5">
        <v>7237</v>
      </c>
      <c r="J16" s="5">
        <v>7928</v>
      </c>
      <c r="K16" s="5">
        <v>8019</v>
      </c>
      <c r="L16" s="5">
        <v>8791</v>
      </c>
      <c r="M16" s="25">
        <f t="shared" si="3"/>
        <v>4.4911765460489361E-2</v>
      </c>
      <c r="O16">
        <f t="shared" si="1"/>
        <v>5920</v>
      </c>
      <c r="P16">
        <f t="shared" si="4"/>
        <v>6185.877651526097</v>
      </c>
      <c r="Q16">
        <f t="shared" ref="Q16:X16" si="16">P16*(1+$M16)</f>
        <v>6463.6963377787197</v>
      </c>
      <c r="R16">
        <f t="shared" si="16"/>
        <v>6753.9923517088619</v>
      </c>
      <c r="S16">
        <f t="shared" si="16"/>
        <v>7057.3260721307488</v>
      </c>
      <c r="T16">
        <f t="shared" si="16"/>
        <v>7374.2830454604818</v>
      </c>
      <c r="U16">
        <f t="shared" si="16"/>
        <v>7705.4751160374663</v>
      </c>
      <c r="V16">
        <f t="shared" si="16"/>
        <v>8051.5416072105781</v>
      </c>
      <c r="W16">
        <f t="shared" si="16"/>
        <v>8413.150555468992</v>
      </c>
      <c r="X16">
        <f t="shared" si="16"/>
        <v>8791.0000000000018</v>
      </c>
    </row>
    <row r="17" spans="1:24" x14ac:dyDescent="0.2">
      <c r="A17" t="s">
        <v>26</v>
      </c>
      <c r="B17" t="s">
        <v>25</v>
      </c>
      <c r="C17" s="5">
        <v>3313</v>
      </c>
      <c r="D17" s="5">
        <v>3500</v>
      </c>
      <c r="E17" s="5">
        <v>3578</v>
      </c>
      <c r="F17" s="5">
        <v>3558</v>
      </c>
      <c r="G17" s="5">
        <v>3734</v>
      </c>
      <c r="H17" s="5">
        <v>3968</v>
      </c>
      <c r="I17" s="5">
        <v>4836</v>
      </c>
      <c r="J17" s="5">
        <v>5733</v>
      </c>
      <c r="K17" s="5">
        <v>5570</v>
      </c>
      <c r="L17" s="5">
        <v>6119</v>
      </c>
      <c r="M17" s="25">
        <f t="shared" si="3"/>
        <v>7.0549018096177862E-2</v>
      </c>
      <c r="O17">
        <f t="shared" si="1"/>
        <v>3313</v>
      </c>
      <c r="P17">
        <f t="shared" si="4"/>
        <v>3546.7288969526371</v>
      </c>
      <c r="Q17">
        <f t="shared" ref="Q17:X17" si="17">P17*(1+$M17)</f>
        <v>3796.9471380859854</v>
      </c>
      <c r="R17">
        <f t="shared" si="17"/>
        <v>4064.8180304410444</v>
      </c>
      <c r="S17">
        <f t="shared" si="17"/>
        <v>4351.5869512282998</v>
      </c>
      <c r="T17">
        <f t="shared" si="17"/>
        <v>4658.5871377975964</v>
      </c>
      <c r="U17">
        <f t="shared" si="17"/>
        <v>4987.2458860847</v>
      </c>
      <c r="V17">
        <f t="shared" si="17"/>
        <v>5339.0911863521778</v>
      </c>
      <c r="W17">
        <f t="shared" si="17"/>
        <v>5715.7588270752813</v>
      </c>
      <c r="X17">
        <f t="shared" si="17"/>
        <v>6119.0000000000036</v>
      </c>
    </row>
    <row r="18" spans="1:24" x14ac:dyDescent="0.2">
      <c r="A18" t="s">
        <v>27</v>
      </c>
      <c r="B18" s="6" t="s">
        <v>140</v>
      </c>
      <c r="C18" s="5">
        <v>105</v>
      </c>
      <c r="D18" s="5">
        <v>108</v>
      </c>
      <c r="E18" s="5">
        <v>100</v>
      </c>
      <c r="F18" s="5">
        <v>103</v>
      </c>
      <c r="G18" s="5">
        <v>137</v>
      </c>
      <c r="H18" s="5">
        <v>142</v>
      </c>
      <c r="I18" s="5">
        <v>154</v>
      </c>
      <c r="J18" s="5">
        <v>167</v>
      </c>
      <c r="K18" s="5">
        <v>167</v>
      </c>
      <c r="L18" s="5">
        <v>184</v>
      </c>
      <c r="M18" s="25">
        <f t="shared" si="3"/>
        <v>6.4314149710402946E-2</v>
      </c>
      <c r="O18">
        <f t="shared" si="1"/>
        <v>105</v>
      </c>
      <c r="P18">
        <f t="shared" si="4"/>
        <v>111.7529857195923</v>
      </c>
      <c r="Q18">
        <f t="shared" ref="Q18:X18" si="18">P18*(1+$M18)</f>
        <v>118.94028397374669</v>
      </c>
      <c r="R18">
        <f t="shared" si="18"/>
        <v>126.58982720383207</v>
      </c>
      <c r="S18">
        <f t="shared" si="18"/>
        <v>134.73134430243337</v>
      </c>
      <c r="T18">
        <f t="shared" si="18"/>
        <v>143.39647615058391</v>
      </c>
      <c r="U18">
        <f t="shared" si="18"/>
        <v>152.61889858567679</v>
      </c>
      <c r="V18">
        <f t="shared" si="18"/>
        <v>162.4344532779528</v>
      </c>
      <c r="W18">
        <f t="shared" si="18"/>
        <v>172.88128702419851</v>
      </c>
      <c r="X18">
        <f t="shared" si="18"/>
        <v>183.99999999999997</v>
      </c>
    </row>
    <row r="19" spans="1:24" x14ac:dyDescent="0.2">
      <c r="A19" t="s">
        <v>29</v>
      </c>
      <c r="B19" t="s">
        <v>28</v>
      </c>
      <c r="C19" s="5">
        <v>1085</v>
      </c>
      <c r="D19" s="5">
        <v>1169</v>
      </c>
      <c r="E19" s="5">
        <v>1213</v>
      </c>
      <c r="F19" s="5">
        <v>1216</v>
      </c>
      <c r="G19" s="5">
        <v>1242</v>
      </c>
      <c r="H19" s="5">
        <v>1377</v>
      </c>
      <c r="I19" s="5">
        <v>1947</v>
      </c>
      <c r="J19" s="5">
        <v>2788</v>
      </c>
      <c r="K19" s="5">
        <v>2572</v>
      </c>
      <c r="L19" s="5">
        <v>2910</v>
      </c>
      <c r="M19" s="25">
        <f t="shared" si="3"/>
        <v>0.11585310916922986</v>
      </c>
      <c r="O19">
        <f t="shared" si="1"/>
        <v>1085</v>
      </c>
      <c r="P19">
        <f t="shared" si="4"/>
        <v>1210.7006234486144</v>
      </c>
      <c r="Q19">
        <f t="shared" ref="Q19:X19" si="19">P19*(1+$M19)</f>
        <v>1350.9640549482613</v>
      </c>
      <c r="R19">
        <f t="shared" si="19"/>
        <v>1507.4774410898876</v>
      </c>
      <c r="S19">
        <f t="shared" si="19"/>
        <v>1682.1233896426256</v>
      </c>
      <c r="T19">
        <f t="shared" si="19"/>
        <v>1877.0026143390078</v>
      </c>
      <c r="U19">
        <f t="shared" si="19"/>
        <v>2094.4592031289549</v>
      </c>
      <c r="V19">
        <f t="shared" si="19"/>
        <v>2337.1088138395517</v>
      </c>
      <c r="W19">
        <f t="shared" si="19"/>
        <v>2607.8701363896744</v>
      </c>
      <c r="X19">
        <f t="shared" si="19"/>
        <v>2910.0000000000018</v>
      </c>
    </row>
    <row r="20" spans="1:24" x14ac:dyDescent="0.2">
      <c r="A20" t="s">
        <v>31</v>
      </c>
      <c r="B20" t="s">
        <v>30</v>
      </c>
      <c r="C20" s="5">
        <v>1226</v>
      </c>
      <c r="D20" s="5">
        <v>1375</v>
      </c>
      <c r="E20" s="5">
        <v>1385</v>
      </c>
      <c r="F20" s="5">
        <v>1409</v>
      </c>
      <c r="G20" s="5">
        <v>1389</v>
      </c>
      <c r="H20" s="5">
        <v>1441</v>
      </c>
      <c r="I20" s="5">
        <v>1561</v>
      </c>
      <c r="J20" s="5">
        <v>1692</v>
      </c>
      <c r="K20" s="5">
        <v>1680</v>
      </c>
      <c r="L20" s="5">
        <v>1764</v>
      </c>
      <c r="M20" s="25">
        <f t="shared" si="3"/>
        <v>4.1253458064134607E-2</v>
      </c>
      <c r="O20">
        <f t="shared" si="1"/>
        <v>1226</v>
      </c>
      <c r="P20">
        <f t="shared" si="4"/>
        <v>1276.5767395866289</v>
      </c>
      <c r="Q20">
        <f t="shared" ref="Q20:X20" si="20">P20*(1+$M20)</f>
        <v>1329.2399445788155</v>
      </c>
      <c r="R20">
        <f t="shared" si="20"/>
        <v>1384.0756888896703</v>
      </c>
      <c r="S20">
        <f t="shared" si="20"/>
        <v>1441.1735972788686</v>
      </c>
      <c r="T20">
        <f t="shared" si="20"/>
        <v>1500.6269918373505</v>
      </c>
      <c r="U20">
        <f t="shared" si="20"/>
        <v>1562.5330445150212</v>
      </c>
      <c r="V20">
        <f t="shared" si="20"/>
        <v>1626.9929359407461</v>
      </c>
      <c r="W20">
        <f t="shared" si="20"/>
        <v>1694.1120207942208</v>
      </c>
      <c r="X20">
        <f t="shared" si="20"/>
        <v>1764.0000000000016</v>
      </c>
    </row>
    <row r="21" spans="1:24" x14ac:dyDescent="0.2">
      <c r="A21" t="s">
        <v>33</v>
      </c>
      <c r="B21" t="s">
        <v>32</v>
      </c>
      <c r="C21" s="5">
        <v>899</v>
      </c>
      <c r="D21" s="5">
        <v>848</v>
      </c>
      <c r="E21" s="5">
        <v>879</v>
      </c>
      <c r="F21" s="5">
        <v>830</v>
      </c>
      <c r="G21" s="5">
        <v>966</v>
      </c>
      <c r="H21" s="5">
        <v>1009</v>
      </c>
      <c r="I21" s="5">
        <v>1180</v>
      </c>
      <c r="J21" s="5">
        <v>1126</v>
      </c>
      <c r="K21" s="5">
        <v>1185</v>
      </c>
      <c r="L21" s="5">
        <v>1292</v>
      </c>
      <c r="M21" s="25">
        <f t="shared" si="3"/>
        <v>4.1118859278999054E-2</v>
      </c>
      <c r="O21">
        <f t="shared" si="1"/>
        <v>899</v>
      </c>
      <c r="P21">
        <f t="shared" si="4"/>
        <v>935.9658544918201</v>
      </c>
      <c r="Q21">
        <f t="shared" ref="Q21:X21" si="21">P21*(1+$M21)</f>
        <v>974.45170275261739</v>
      </c>
      <c r="R21">
        <f t="shared" si="21"/>
        <v>1014.5200451922833</v>
      </c>
      <c r="S21">
        <f t="shared" si="21"/>
        <v>1056.2359521662686</v>
      </c>
      <c r="T21">
        <f t="shared" si="21"/>
        <v>1099.6671696488129</v>
      </c>
      <c r="U21">
        <f t="shared" si="21"/>
        <v>1144.8842292513375</v>
      </c>
      <c r="V21">
        <f t="shared" si="21"/>
        <v>1191.9605627646686</v>
      </c>
      <c r="W21">
        <f t="shared" si="21"/>
        <v>1240.9726214111056</v>
      </c>
      <c r="X21">
        <f t="shared" si="21"/>
        <v>1291.9999999999993</v>
      </c>
    </row>
    <row r="22" spans="1:24" x14ac:dyDescent="0.2">
      <c r="A22" t="s">
        <v>35</v>
      </c>
      <c r="B22" t="s">
        <v>34</v>
      </c>
      <c r="C22" s="5">
        <v>2409</v>
      </c>
      <c r="D22" s="5">
        <v>2516</v>
      </c>
      <c r="E22" s="5">
        <v>2421</v>
      </c>
      <c r="F22" s="5">
        <v>2416</v>
      </c>
      <c r="G22" s="5">
        <v>2282</v>
      </c>
      <c r="H22" s="5">
        <v>2397</v>
      </c>
      <c r="I22" s="5">
        <v>2301</v>
      </c>
      <c r="J22" s="5">
        <v>2113</v>
      </c>
      <c r="K22" s="5">
        <v>2357</v>
      </c>
      <c r="L22" s="5">
        <v>2580</v>
      </c>
      <c r="M22" s="25">
        <f t="shared" si="3"/>
        <v>7.6488458068386667E-3</v>
      </c>
      <c r="O22">
        <f t="shared" si="1"/>
        <v>2409</v>
      </c>
      <c r="P22">
        <f t="shared" si="4"/>
        <v>2427.4260695486741</v>
      </c>
      <c r="Q22">
        <f t="shared" ref="Q22:X22" si="22">P22*(1+$M22)</f>
        <v>2445.9930772621524</v>
      </c>
      <c r="R22">
        <f t="shared" si="22"/>
        <v>2464.7021011547254</v>
      </c>
      <c r="S22">
        <f t="shared" si="22"/>
        <v>2483.5542274862491</v>
      </c>
      <c r="T22">
        <f t="shared" si="22"/>
        <v>2502.5505508252136</v>
      </c>
      <c r="U22">
        <f t="shared" si="22"/>
        <v>2521.6921741122947</v>
      </c>
      <c r="V22">
        <f t="shared" si="22"/>
        <v>2540.9802087243916</v>
      </c>
      <c r="W22">
        <f t="shared" si="22"/>
        <v>2560.4157745391531</v>
      </c>
      <c r="X22">
        <f t="shared" si="22"/>
        <v>2580.0000000000005</v>
      </c>
    </row>
    <row r="23" spans="1:24" x14ac:dyDescent="0.2">
      <c r="A23" t="s">
        <v>37</v>
      </c>
      <c r="B23" t="s">
        <v>36</v>
      </c>
      <c r="C23" s="5">
        <v>154</v>
      </c>
      <c r="D23" s="5">
        <v>155</v>
      </c>
      <c r="E23" s="5">
        <v>158</v>
      </c>
      <c r="F23" s="5">
        <v>146</v>
      </c>
      <c r="G23" s="5">
        <v>148</v>
      </c>
      <c r="H23" s="5">
        <v>74</v>
      </c>
      <c r="I23" s="5">
        <v>59</v>
      </c>
      <c r="J23" s="5">
        <v>57</v>
      </c>
      <c r="K23" s="5">
        <v>65</v>
      </c>
      <c r="L23" s="5">
        <v>65</v>
      </c>
      <c r="M23" s="25">
        <f t="shared" si="3"/>
        <v>-9.1391156412478969E-2</v>
      </c>
      <c r="O23">
        <f t="shared" si="1"/>
        <v>154</v>
      </c>
      <c r="P23">
        <f t="shared" si="4"/>
        <v>139.92576191247824</v>
      </c>
      <c r="Q23">
        <f t="shared" ref="Q23:X23" si="23">P23*(1+$M23)</f>
        <v>127.13778471939965</v>
      </c>
      <c r="R23">
        <f t="shared" si="23"/>
        <v>115.51851555017292</v>
      </c>
      <c r="S23">
        <f t="shared" si="23"/>
        <v>104.96114482698968</v>
      </c>
      <c r="T23">
        <f t="shared" si="23"/>
        <v>95.36862442287341</v>
      </c>
      <c r="U23">
        <f t="shared" si="23"/>
        <v>86.652775551399628</v>
      </c>
      <c r="V23">
        <f t="shared" si="23"/>
        <v>78.733478187406234</v>
      </c>
      <c r="W23">
        <f t="shared" si="23"/>
        <v>71.537934567482495</v>
      </c>
      <c r="X23">
        <f t="shared" si="23"/>
        <v>65.000000000000014</v>
      </c>
    </row>
    <row r="24" spans="1:24" x14ac:dyDescent="0.2">
      <c r="A24" t="s">
        <v>39</v>
      </c>
      <c r="B24" t="s">
        <v>38</v>
      </c>
      <c r="C24" s="5">
        <v>46</v>
      </c>
      <c r="D24" s="5">
        <v>51</v>
      </c>
      <c r="E24" s="5">
        <v>52</v>
      </c>
      <c r="F24" s="5">
        <v>53</v>
      </c>
      <c r="G24" s="5">
        <v>46</v>
      </c>
      <c r="H24" s="5">
        <v>47</v>
      </c>
      <c r="I24" s="5">
        <v>44</v>
      </c>
      <c r="J24" s="5">
        <v>41</v>
      </c>
      <c r="K24" s="5">
        <v>41</v>
      </c>
      <c r="L24" s="5">
        <v>42</v>
      </c>
      <c r="M24" s="25">
        <f t="shared" si="3"/>
        <v>-1.0057061463150552E-2</v>
      </c>
      <c r="O24">
        <f t="shared" si="1"/>
        <v>46</v>
      </c>
      <c r="P24">
        <f t="shared" si="4"/>
        <v>45.537375172695072</v>
      </c>
      <c r="Q24">
        <f t="shared" ref="Q24:X24" si="24">P24*(1+$M24)</f>
        <v>45.079402991712733</v>
      </c>
      <c r="R24">
        <f t="shared" si="24"/>
        <v>44.626036665102944</v>
      </c>
      <c r="S24">
        <f t="shared" si="24"/>
        <v>44.177229871505197</v>
      </c>
      <c r="T24">
        <f t="shared" si="24"/>
        <v>43.732936755415736</v>
      </c>
      <c r="U24">
        <f t="shared" si="24"/>
        <v>43.29311192250244</v>
      </c>
      <c r="V24">
        <f t="shared" si="24"/>
        <v>42.857710434966776</v>
      </c>
      <c r="W24">
        <f t="shared" si="24"/>
        <v>42.426687806952408</v>
      </c>
      <c r="X24">
        <f t="shared" si="24"/>
        <v>41.999999999999986</v>
      </c>
    </row>
    <row r="25" spans="1:24" x14ac:dyDescent="0.2">
      <c r="A25" t="s">
        <v>41</v>
      </c>
      <c r="B25" t="s">
        <v>40</v>
      </c>
      <c r="C25" s="5">
        <v>30218</v>
      </c>
      <c r="D25" s="5">
        <v>27838</v>
      </c>
      <c r="E25" s="5">
        <v>25140</v>
      </c>
      <c r="F25" s="5">
        <v>25537</v>
      </c>
      <c r="G25" s="5">
        <v>27363</v>
      </c>
      <c r="H25" s="5">
        <v>26229</v>
      </c>
      <c r="I25" s="5">
        <v>23505</v>
      </c>
      <c r="J25" s="5">
        <v>28579</v>
      </c>
      <c r="K25" s="5">
        <v>32576</v>
      </c>
      <c r="L25" s="5">
        <v>32695</v>
      </c>
      <c r="M25" s="25">
        <f t="shared" si="3"/>
        <v>8.7922475899218089E-3</v>
      </c>
      <c r="O25">
        <f t="shared" si="1"/>
        <v>30218</v>
      </c>
      <c r="P25">
        <f t="shared" si="4"/>
        <v>30483.684137672259</v>
      </c>
      <c r="Q25">
        <f t="shared" ref="Q25:X25" si="25">P25*(1+$M25)</f>
        <v>30751.704236063644</v>
      </c>
      <c r="R25">
        <f t="shared" si="25"/>
        <v>31022.080833519161</v>
      </c>
      <c r="S25">
        <f t="shared" si="25"/>
        <v>31294.834648962031</v>
      </c>
      <c r="T25">
        <f t="shared" si="25"/>
        <v>31569.986583481368</v>
      </c>
      <c r="U25">
        <f t="shared" si="25"/>
        <v>31847.557721933845</v>
      </c>
      <c r="V25">
        <f t="shared" si="25"/>
        <v>32127.569334559412</v>
      </c>
      <c r="W25">
        <f t="shared" si="25"/>
        <v>32410.042878611239</v>
      </c>
      <c r="X25">
        <f t="shared" si="25"/>
        <v>32694.999999999971</v>
      </c>
    </row>
    <row r="26" spans="1:24" x14ac:dyDescent="0.2">
      <c r="A26" t="s">
        <v>43</v>
      </c>
      <c r="B26" t="s">
        <v>42</v>
      </c>
      <c r="C26" s="5">
        <v>19636</v>
      </c>
      <c r="D26" s="5">
        <v>18390</v>
      </c>
      <c r="E26" s="5">
        <v>17745</v>
      </c>
      <c r="F26" s="5">
        <v>17022</v>
      </c>
      <c r="G26" s="5">
        <v>17072</v>
      </c>
      <c r="H26" s="5">
        <v>15315</v>
      </c>
      <c r="I26" s="5">
        <v>15517</v>
      </c>
      <c r="J26" s="5">
        <v>19926</v>
      </c>
      <c r="K26" s="5">
        <v>18047</v>
      </c>
      <c r="L26" s="5">
        <v>18042</v>
      </c>
      <c r="M26" s="25">
        <f t="shared" si="3"/>
        <v>-9.362809262143168E-3</v>
      </c>
      <c r="O26">
        <f t="shared" si="1"/>
        <v>19636</v>
      </c>
      <c r="P26">
        <f t="shared" si="4"/>
        <v>19452.151877328557</v>
      </c>
      <c r="Q26">
        <f t="shared" ref="Q26:X26" si="26">P26*(1+$M26)</f>
        <v>19270.025089562889</v>
      </c>
      <c r="R26">
        <f t="shared" si="26"/>
        <v>19089.603520172597</v>
      </c>
      <c r="S26">
        <f t="shared" si="26"/>
        <v>18910.871203523286</v>
      </c>
      <c r="T26">
        <f t="shared" si="26"/>
        <v>18733.812323463742</v>
      </c>
      <c r="U26">
        <f t="shared" si="26"/>
        <v>18558.411211926363</v>
      </c>
      <c r="V26">
        <f t="shared" si="26"/>
        <v>18384.652347540676</v>
      </c>
      <c r="W26">
        <f t="shared" si="26"/>
        <v>18212.520354259839</v>
      </c>
      <c r="X26">
        <f t="shared" si="26"/>
        <v>18042.000000000004</v>
      </c>
    </row>
    <row r="27" spans="1:24" x14ac:dyDescent="0.2">
      <c r="A27" t="s">
        <v>45</v>
      </c>
      <c r="B27" t="s">
        <v>44</v>
      </c>
      <c r="C27" s="5">
        <v>9247</v>
      </c>
      <c r="D27" s="5">
        <v>7967</v>
      </c>
      <c r="E27" s="5">
        <v>5669</v>
      </c>
      <c r="F27" s="5">
        <v>6491</v>
      </c>
      <c r="G27" s="5">
        <v>8380</v>
      </c>
      <c r="H27" s="5">
        <v>9225</v>
      </c>
      <c r="I27" s="5">
        <v>5197</v>
      </c>
      <c r="J27" s="5">
        <v>4513</v>
      </c>
      <c r="K27" s="5">
        <v>15040</v>
      </c>
      <c r="L27" s="5">
        <v>15890</v>
      </c>
      <c r="M27" s="25">
        <f t="shared" si="3"/>
        <v>6.2000649068095548E-2</v>
      </c>
      <c r="O27">
        <f t="shared" si="1"/>
        <v>9247</v>
      </c>
      <c r="P27">
        <f t="shared" si="4"/>
        <v>9820.3200019326796</v>
      </c>
      <c r="Q27">
        <f t="shared" ref="Q27:X27" si="27">P27*(1+$M27)</f>
        <v>10429.186216108907</v>
      </c>
      <c r="R27">
        <f t="shared" si="27"/>
        <v>11075.802530759694</v>
      </c>
      <c r="S27">
        <f t="shared" si="27"/>
        <v>11762.509476616851</v>
      </c>
      <c r="T27">
        <f t="shared" si="27"/>
        <v>12491.792698836722</v>
      </c>
      <c r="U27">
        <f t="shared" si="27"/>
        <v>13266.291954188695</v>
      </c>
      <c r="V27">
        <f t="shared" si="27"/>
        <v>14088.810666075247</v>
      </c>
      <c r="W27">
        <f t="shared" si="27"/>
        <v>14962.326071969421</v>
      </c>
      <c r="X27">
        <f t="shared" si="27"/>
        <v>15890.000000000013</v>
      </c>
    </row>
    <row r="28" spans="1:24" x14ac:dyDescent="0.2">
      <c r="A28" t="s">
        <v>47</v>
      </c>
      <c r="B28" t="s">
        <v>46</v>
      </c>
      <c r="C28" s="5">
        <v>1526</v>
      </c>
      <c r="D28" s="5">
        <v>1557</v>
      </c>
      <c r="E28" s="5">
        <v>1809</v>
      </c>
      <c r="F28" s="5">
        <v>2023</v>
      </c>
      <c r="G28" s="5">
        <v>2060</v>
      </c>
      <c r="H28" s="5">
        <v>2124</v>
      </c>
      <c r="I28" s="5">
        <v>2132</v>
      </c>
      <c r="J28" s="5">
        <v>2627</v>
      </c>
      <c r="K28" s="5">
        <v>2650</v>
      </c>
      <c r="L28" s="5">
        <v>2384</v>
      </c>
      <c r="M28" s="25">
        <f t="shared" si="3"/>
        <v>5.081912553704826E-2</v>
      </c>
      <c r="O28">
        <f t="shared" si="1"/>
        <v>1526</v>
      </c>
      <c r="P28">
        <f t="shared" si="4"/>
        <v>1603.5499855695357</v>
      </c>
      <c r="Q28">
        <f t="shared" ref="Q28:X28" si="28">P28*(1+$M28)</f>
        <v>1685.0409935911259</v>
      </c>
      <c r="R28">
        <f t="shared" si="28"/>
        <v>1770.6733033795058</v>
      </c>
      <c r="S28">
        <f t="shared" si="28"/>
        <v>1860.6573722690489</v>
      </c>
      <c r="T28">
        <f t="shared" si="28"/>
        <v>1955.2143528518241</v>
      </c>
      <c r="U28">
        <f t="shared" si="28"/>
        <v>2054.5766365012396</v>
      </c>
      <c r="V28">
        <f t="shared" si="28"/>
        <v>2158.9884245170824</v>
      </c>
      <c r="W28">
        <f t="shared" si="28"/>
        <v>2268.7063282956501</v>
      </c>
      <c r="X28">
        <f t="shared" si="28"/>
        <v>2384.0000000000027</v>
      </c>
    </row>
    <row r="29" spans="1:24" x14ac:dyDescent="0.2">
      <c r="A29" t="s">
        <v>49</v>
      </c>
      <c r="B29" t="s">
        <v>48</v>
      </c>
      <c r="C29" s="5">
        <v>3720</v>
      </c>
      <c r="D29" s="5">
        <v>4097</v>
      </c>
      <c r="E29" s="5">
        <v>5217</v>
      </c>
      <c r="F29" s="5">
        <v>4941</v>
      </c>
      <c r="G29" s="5">
        <v>5017</v>
      </c>
      <c r="H29" s="5">
        <v>4810</v>
      </c>
      <c r="I29" s="5">
        <v>4497</v>
      </c>
      <c r="J29" s="5">
        <v>4080</v>
      </c>
      <c r="K29" s="5">
        <v>4243</v>
      </c>
      <c r="L29" s="5">
        <v>4106</v>
      </c>
      <c r="M29" s="25">
        <f t="shared" si="3"/>
        <v>1.1029902448461915E-2</v>
      </c>
      <c r="O29">
        <f t="shared" si="1"/>
        <v>3720</v>
      </c>
      <c r="P29">
        <f t="shared" si="4"/>
        <v>3761.0312371082782</v>
      </c>
      <c r="Q29">
        <f t="shared" ref="Q29:X29" si="29">P29*(1+$M29)</f>
        <v>3802.5150447592005</v>
      </c>
      <c r="R29">
        <f t="shared" si="29"/>
        <v>3844.4564147617034</v>
      </c>
      <c r="S29">
        <f t="shared" si="29"/>
        <v>3886.8603939838886</v>
      </c>
      <c r="T29">
        <f t="shared" si="29"/>
        <v>3929.7320849603211</v>
      </c>
      <c r="U29">
        <f t="shared" si="29"/>
        <v>3973.0766465060242</v>
      </c>
      <c r="V29">
        <f t="shared" si="29"/>
        <v>4016.8992943372477</v>
      </c>
      <c r="W29">
        <f t="shared" si="29"/>
        <v>4061.2053016990831</v>
      </c>
      <c r="X29">
        <f t="shared" si="29"/>
        <v>4106</v>
      </c>
    </row>
    <row r="30" spans="1:24" x14ac:dyDescent="0.2">
      <c r="A30" t="s">
        <v>51</v>
      </c>
      <c r="B30" t="s">
        <v>50</v>
      </c>
      <c r="C30" s="5">
        <v>54648</v>
      </c>
      <c r="D30" s="5">
        <v>51818</v>
      </c>
      <c r="E30" s="5">
        <v>46492</v>
      </c>
      <c r="F30" s="5">
        <v>44571</v>
      </c>
      <c r="G30" s="5">
        <v>43064</v>
      </c>
      <c r="H30" s="5">
        <v>44559</v>
      </c>
      <c r="I30" s="5">
        <v>42534</v>
      </c>
      <c r="J30" s="5">
        <v>48645</v>
      </c>
      <c r="K30" s="5">
        <v>45780</v>
      </c>
      <c r="L30" s="5">
        <v>52218</v>
      </c>
      <c r="M30" s="25">
        <f t="shared" si="3"/>
        <v>-5.0411786581313622E-3</v>
      </c>
      <c r="O30">
        <f t="shared" si="1"/>
        <v>54648</v>
      </c>
      <c r="P30">
        <f t="shared" si="4"/>
        <v>54372.509668690436</v>
      </c>
      <c r="Q30">
        <f t="shared" ref="Q30:X30" si="30">P30*(1+$M30)</f>
        <v>54098.40813335959</v>
      </c>
      <c r="R30">
        <f t="shared" si="30"/>
        <v>53825.68839283882</v>
      </c>
      <c r="S30">
        <f t="shared" si="30"/>
        <v>53554.343481253614</v>
      </c>
      <c r="T30">
        <f t="shared" si="30"/>
        <v>53284.366467845684</v>
      </c>
      <c r="U30">
        <f t="shared" si="30"/>
        <v>53015.750456795933</v>
      </c>
      <c r="V30">
        <f t="shared" si="30"/>
        <v>52748.488587048312</v>
      </c>
      <c r="W30">
        <f t="shared" si="30"/>
        <v>52482.574032134602</v>
      </c>
      <c r="X30">
        <f t="shared" si="30"/>
        <v>52218.000000000007</v>
      </c>
    </row>
    <row r="31" spans="1:24" x14ac:dyDescent="0.2">
      <c r="A31" t="s">
        <v>53</v>
      </c>
      <c r="B31" t="s">
        <v>52</v>
      </c>
      <c r="C31" s="5">
        <v>52839</v>
      </c>
      <c r="D31" s="5">
        <v>50001</v>
      </c>
      <c r="E31" s="5">
        <v>44645</v>
      </c>
      <c r="F31" s="5">
        <v>42420</v>
      </c>
      <c r="G31" s="5">
        <v>40974</v>
      </c>
      <c r="H31" s="5">
        <v>42627</v>
      </c>
      <c r="I31" s="5">
        <v>40663</v>
      </c>
      <c r="J31" s="5">
        <v>46701</v>
      </c>
      <c r="K31" s="5">
        <v>43774</v>
      </c>
      <c r="L31" s="5">
        <v>50113</v>
      </c>
      <c r="M31" s="25">
        <f t="shared" si="3"/>
        <v>-5.8681700732812203E-3</v>
      </c>
      <c r="O31">
        <f t="shared" si="1"/>
        <v>52839</v>
      </c>
      <c r="P31">
        <f t="shared" si="4"/>
        <v>52528.931761497894</v>
      </c>
      <c r="Q31">
        <f t="shared" ref="Q31:X31" si="31">P31*(1+$M31)</f>
        <v>52220.683056153641</v>
      </c>
      <c r="R31">
        <f t="shared" si="31"/>
        <v>51914.243206637213</v>
      </c>
      <c r="S31">
        <f t="shared" si="31"/>
        <v>51609.601598274981</v>
      </c>
      <c r="T31">
        <f t="shared" si="31"/>
        <v>51306.747678682019</v>
      </c>
      <c r="U31">
        <f t="shared" si="31"/>
        <v>51005.670957396585</v>
      </c>
      <c r="V31">
        <f t="shared" si="31"/>
        <v>50706.361005516759</v>
      </c>
      <c r="W31">
        <f t="shared" si="31"/>
        <v>50408.807455339193</v>
      </c>
      <c r="X31">
        <f t="shared" si="31"/>
        <v>50112.999999999978</v>
      </c>
    </row>
    <row r="32" spans="1:24" x14ac:dyDescent="0.2">
      <c r="A32" t="s">
        <v>55</v>
      </c>
      <c r="B32" t="s">
        <v>54</v>
      </c>
      <c r="C32" s="5">
        <v>1308</v>
      </c>
      <c r="D32" s="5">
        <v>1325</v>
      </c>
      <c r="E32" s="5">
        <v>1391</v>
      </c>
      <c r="F32" s="5">
        <v>1674</v>
      </c>
      <c r="G32" s="5">
        <v>1622</v>
      </c>
      <c r="H32" s="5">
        <v>1475</v>
      </c>
      <c r="I32" s="5">
        <v>1465</v>
      </c>
      <c r="J32" s="5">
        <v>1544</v>
      </c>
      <c r="K32" s="5">
        <v>1609</v>
      </c>
      <c r="L32" s="5">
        <v>1727</v>
      </c>
      <c r="M32" s="25">
        <f t="shared" si="3"/>
        <v>3.1357899388266608E-2</v>
      </c>
      <c r="O32">
        <f t="shared" si="1"/>
        <v>1308</v>
      </c>
      <c r="P32">
        <f t="shared" si="4"/>
        <v>1349.0161323998527</v>
      </c>
      <c r="Q32">
        <f t="shared" ref="Q32:X32" si="32">P32*(1+$M32)</f>
        <v>1391.3184445527959</v>
      </c>
      <c r="R32">
        <f t="shared" si="32"/>
        <v>1434.9472683541221</v>
      </c>
      <c r="S32">
        <f t="shared" si="32"/>
        <v>1479.9442004226387</v>
      </c>
      <c r="T32">
        <f t="shared" si="32"/>
        <v>1526.3521417597406</v>
      </c>
      <c r="U32">
        <f t="shared" si="32"/>
        <v>1574.2153386521077</v>
      </c>
      <c r="V32">
        <f t="shared" si="32"/>
        <v>1623.5794248570264</v>
      </c>
      <c r="W32">
        <f t="shared" si="32"/>
        <v>1674.4914651105528</v>
      </c>
      <c r="X32">
        <f t="shared" si="32"/>
        <v>1727.0000000000007</v>
      </c>
    </row>
    <row r="33" spans="1:24" x14ac:dyDescent="0.2">
      <c r="A33" t="s">
        <v>57</v>
      </c>
      <c r="B33" t="s">
        <v>56</v>
      </c>
      <c r="C33" s="5">
        <v>498</v>
      </c>
      <c r="D33" s="5">
        <v>501</v>
      </c>
      <c r="E33" s="5">
        <v>463</v>
      </c>
      <c r="F33" s="5">
        <v>477</v>
      </c>
      <c r="G33" s="5">
        <v>469</v>
      </c>
      <c r="H33" s="5">
        <v>455</v>
      </c>
      <c r="I33" s="5">
        <v>400</v>
      </c>
      <c r="J33" s="5">
        <v>436</v>
      </c>
      <c r="K33" s="5">
        <v>419</v>
      </c>
      <c r="L33" s="5">
        <v>399</v>
      </c>
      <c r="M33" s="25">
        <f t="shared" si="3"/>
        <v>-2.4325759042023054E-2</v>
      </c>
      <c r="O33">
        <f t="shared" si="1"/>
        <v>498</v>
      </c>
      <c r="P33">
        <f t="shared" si="4"/>
        <v>485.88577199707254</v>
      </c>
      <c r="Q33">
        <f t="shared" ref="Q33:X33" si="33">P33*(1+$M33)</f>
        <v>474.06623178552439</v>
      </c>
      <c r="R33">
        <f t="shared" si="33"/>
        <v>462.53421086114986</v>
      </c>
      <c r="S33">
        <f t="shared" si="33"/>
        <v>451.28271509904926</v>
      </c>
      <c r="T33">
        <f t="shared" si="33"/>
        <v>440.30492051171984</v>
      </c>
      <c r="U33">
        <f t="shared" si="33"/>
        <v>429.59416911033463</v>
      </c>
      <c r="V33">
        <f t="shared" si="33"/>
        <v>419.14396486669852</v>
      </c>
      <c r="W33">
        <f t="shared" si="33"/>
        <v>408.94796977343304</v>
      </c>
      <c r="X33">
        <f t="shared" si="33"/>
        <v>399</v>
      </c>
    </row>
    <row r="34" spans="1:24" x14ac:dyDescent="0.2">
      <c r="A34" t="s">
        <v>59</v>
      </c>
      <c r="B34" t="s">
        <v>58</v>
      </c>
      <c r="C34" s="5">
        <v>7096</v>
      </c>
      <c r="D34" s="5">
        <v>8576</v>
      </c>
      <c r="E34" s="5">
        <v>9925</v>
      </c>
      <c r="F34" s="5">
        <v>9964</v>
      </c>
      <c r="G34" s="5">
        <v>9029</v>
      </c>
      <c r="H34" s="5">
        <v>8413</v>
      </c>
      <c r="I34" s="5">
        <v>9185</v>
      </c>
      <c r="J34" s="5">
        <v>8310</v>
      </c>
      <c r="K34" s="5">
        <v>8236</v>
      </c>
      <c r="L34" s="5">
        <v>9588</v>
      </c>
      <c r="M34" s="25">
        <f t="shared" si="3"/>
        <v>3.4007822445093483E-2</v>
      </c>
      <c r="O34">
        <f t="shared" si="1"/>
        <v>7096</v>
      </c>
      <c r="P34">
        <f t="shared" si="4"/>
        <v>7337.3195080703836</v>
      </c>
      <c r="Q34">
        <f t="shared" ref="Q34:X34" si="34">P34*(1+$M34)</f>
        <v>7586.845767123762</v>
      </c>
      <c r="R34">
        <f t="shared" si="34"/>
        <v>7844.8578708904161</v>
      </c>
      <c r="S34">
        <f t="shared" si="34"/>
        <v>8111.6444044706514</v>
      </c>
      <c r="T34">
        <f t="shared" si="34"/>
        <v>8387.503767115626</v>
      </c>
      <c r="U34">
        <f t="shared" si="34"/>
        <v>8672.7445059852471</v>
      </c>
      <c r="V34">
        <f t="shared" si="34"/>
        <v>8967.6856612564534</v>
      </c>
      <c r="W34">
        <f t="shared" si="34"/>
        <v>9272.6571229678739</v>
      </c>
      <c r="X34">
        <f t="shared" si="34"/>
        <v>9587.9999999999964</v>
      </c>
    </row>
    <row r="35" spans="1:24" x14ac:dyDescent="0.2">
      <c r="A35" t="s">
        <v>61</v>
      </c>
      <c r="B35" t="s">
        <v>60</v>
      </c>
      <c r="C35" s="5">
        <v>7096</v>
      </c>
      <c r="D35" s="5">
        <v>8576</v>
      </c>
      <c r="E35" s="5">
        <v>9925</v>
      </c>
      <c r="F35" s="5">
        <v>9961</v>
      </c>
      <c r="G35" s="5">
        <v>9027</v>
      </c>
      <c r="H35" s="5">
        <v>8410</v>
      </c>
      <c r="I35" s="5">
        <v>9182</v>
      </c>
      <c r="J35" s="5">
        <v>8307</v>
      </c>
      <c r="K35" s="5">
        <v>8233</v>
      </c>
      <c r="L35" s="5">
        <v>9585</v>
      </c>
      <c r="M35" s="25">
        <f t="shared" si="3"/>
        <v>3.3971869460713178E-2</v>
      </c>
      <c r="O35">
        <f t="shared" si="1"/>
        <v>7096</v>
      </c>
      <c r="P35">
        <f t="shared" si="4"/>
        <v>7337.0643856932211</v>
      </c>
      <c r="Q35">
        <f t="shared" ref="Q35:X35" si="35">P35*(1+$M35)</f>
        <v>7586.3181792288387</v>
      </c>
      <c r="R35">
        <f t="shared" si="35"/>
        <v>7844.0395901010361</v>
      </c>
      <c r="S35">
        <f t="shared" si="35"/>
        <v>8110.5162791006142</v>
      </c>
      <c r="T35">
        <f t="shared" si="35"/>
        <v>8386.0456793932099</v>
      </c>
      <c r="U35">
        <f t="shared" si="35"/>
        <v>8670.9353285051329</v>
      </c>
      <c r="V35">
        <f t="shared" si="35"/>
        <v>8965.5032115873946</v>
      </c>
      <c r="W35">
        <f t="shared" si="35"/>
        <v>9270.0781163410466</v>
      </c>
      <c r="X35">
        <f t="shared" si="35"/>
        <v>9584.9999999999982</v>
      </c>
    </row>
    <row r="36" spans="1:24" ht="14.25" x14ac:dyDescent="0.2">
      <c r="A36" t="s">
        <v>63</v>
      </c>
      <c r="B36" s="6" t="s">
        <v>157</v>
      </c>
      <c r="C36" s="16" t="s">
        <v>163</v>
      </c>
      <c r="D36" s="16" t="s">
        <v>163</v>
      </c>
      <c r="E36" s="5">
        <v>0</v>
      </c>
      <c r="F36" s="5">
        <v>3</v>
      </c>
      <c r="G36" s="5">
        <v>3</v>
      </c>
      <c r="H36" s="5">
        <v>3</v>
      </c>
      <c r="I36" s="5">
        <v>3</v>
      </c>
      <c r="J36" s="5">
        <v>3</v>
      </c>
      <c r="K36" s="5">
        <v>3</v>
      </c>
      <c r="L36" s="5">
        <v>3</v>
      </c>
      <c r="M36" s="25"/>
      <c r="O36" t="str">
        <f t="shared" si="1"/>
        <v>…</v>
      </c>
      <c r="P36" t="e">
        <f t="shared" si="4"/>
        <v>#VALUE!</v>
      </c>
      <c r="Q36" t="e">
        <f t="shared" ref="Q36:X36" si="36">P36*(1+$M36)</f>
        <v>#VALUE!</v>
      </c>
      <c r="R36" t="e">
        <f t="shared" si="36"/>
        <v>#VALUE!</v>
      </c>
      <c r="S36" t="e">
        <f t="shared" si="36"/>
        <v>#VALUE!</v>
      </c>
      <c r="T36" t="e">
        <f t="shared" si="36"/>
        <v>#VALUE!</v>
      </c>
      <c r="U36" t="e">
        <f t="shared" si="36"/>
        <v>#VALUE!</v>
      </c>
      <c r="V36" t="e">
        <f t="shared" si="36"/>
        <v>#VALUE!</v>
      </c>
      <c r="W36" t="e">
        <f t="shared" si="36"/>
        <v>#VALUE!</v>
      </c>
      <c r="X36" t="e">
        <f t="shared" si="36"/>
        <v>#VALUE!</v>
      </c>
    </row>
    <row r="37" spans="1:24" x14ac:dyDescent="0.2">
      <c r="A37" t="s">
        <v>64</v>
      </c>
      <c r="B37" t="s">
        <v>62</v>
      </c>
      <c r="C37" s="5">
        <v>6564</v>
      </c>
      <c r="D37" s="5">
        <v>8203</v>
      </c>
      <c r="E37" s="5">
        <v>8001</v>
      </c>
      <c r="F37" s="5">
        <v>8231</v>
      </c>
      <c r="G37" s="5">
        <v>8693</v>
      </c>
      <c r="H37" s="5">
        <v>9452</v>
      </c>
      <c r="I37" s="5">
        <v>10115</v>
      </c>
      <c r="J37" s="5">
        <v>11866</v>
      </c>
      <c r="K37" s="5">
        <v>12693</v>
      </c>
      <c r="L37" s="5">
        <v>12392</v>
      </c>
      <c r="M37" s="25">
        <f t="shared" si="3"/>
        <v>7.3157952103978907E-2</v>
      </c>
      <c r="O37">
        <f t="shared" si="1"/>
        <v>6564</v>
      </c>
      <c r="P37">
        <f t="shared" si="4"/>
        <v>7044.2087976105176</v>
      </c>
      <c r="Q37">
        <f t="shared" ref="Q37:X37" si="37">P37*(1+$M37)</f>
        <v>7559.5486874365351</v>
      </c>
      <c r="R37">
        <f t="shared" si="37"/>
        <v>8112.5897882397139</v>
      </c>
      <c r="S37">
        <f t="shared" si="37"/>
        <v>8706.0902434069831</v>
      </c>
      <c r="T37">
        <f t="shared" si="37"/>
        <v>9343.0099764470688</v>
      </c>
      <c r="U37">
        <f t="shared" si="37"/>
        <v>10026.52545281098</v>
      </c>
      <c r="V37">
        <f t="shared" si="37"/>
        <v>10760.045521657052</v>
      </c>
      <c r="W37">
        <f t="shared" si="37"/>
        <v>11547.228416567072</v>
      </c>
      <c r="X37">
        <f t="shared" si="37"/>
        <v>12391.999999999989</v>
      </c>
    </row>
    <row r="38" spans="1:24" ht="14.25" x14ac:dyDescent="0.2">
      <c r="A38" t="s">
        <v>66</v>
      </c>
      <c r="B38" s="6" t="s">
        <v>156</v>
      </c>
      <c r="C38" s="5">
        <v>5342</v>
      </c>
      <c r="D38" s="5">
        <v>6870</v>
      </c>
      <c r="E38" s="5">
        <v>6813</v>
      </c>
      <c r="F38" s="5">
        <v>7065</v>
      </c>
      <c r="G38" s="5">
        <v>7543</v>
      </c>
      <c r="H38" s="5">
        <v>8406</v>
      </c>
      <c r="I38" s="5">
        <v>9388</v>
      </c>
      <c r="J38" s="5">
        <v>10846</v>
      </c>
      <c r="K38" s="5">
        <v>11580</v>
      </c>
      <c r="L38" s="5">
        <v>11452</v>
      </c>
      <c r="M38" s="25">
        <f t="shared" si="3"/>
        <v>8.8422460116192481E-2</v>
      </c>
      <c r="O38">
        <f t="shared" si="1"/>
        <v>5342</v>
      </c>
      <c r="P38">
        <f t="shared" si="4"/>
        <v>5814.3527819407</v>
      </c>
      <c r="Q38">
        <f t="shared" ref="Q38:X38" si="38">P38*(1+$M38)</f>
        <v>6328.4721589033243</v>
      </c>
      <c r="R38">
        <f t="shared" si="38"/>
        <v>6888.051235970388</v>
      </c>
      <c r="S38">
        <f t="shared" si="38"/>
        <v>7497.1096716612701</v>
      </c>
      <c r="T38">
        <f t="shared" si="38"/>
        <v>8160.0225525904598</v>
      </c>
      <c r="U38">
        <f t="shared" si="38"/>
        <v>8881.5518212941206</v>
      </c>
      <c r="V38">
        <f t="shared" si="38"/>
        <v>9666.8804829823966</v>
      </c>
      <c r="W38">
        <f t="shared" si="38"/>
        <v>10521.649836936907</v>
      </c>
      <c r="X38">
        <f t="shared" si="38"/>
        <v>11452.000000000004</v>
      </c>
    </row>
    <row r="39" spans="1:24" x14ac:dyDescent="0.2">
      <c r="A39" t="s">
        <v>68</v>
      </c>
      <c r="B39" t="s">
        <v>65</v>
      </c>
      <c r="C39" s="5">
        <v>115</v>
      </c>
      <c r="D39" s="5">
        <v>92</v>
      </c>
      <c r="E39" s="5">
        <v>103</v>
      </c>
      <c r="F39" s="5">
        <v>76</v>
      </c>
      <c r="G39" s="5">
        <v>58</v>
      </c>
      <c r="H39" s="5">
        <v>58</v>
      </c>
      <c r="I39" s="5">
        <v>67</v>
      </c>
      <c r="J39" s="5">
        <v>66</v>
      </c>
      <c r="K39" s="5">
        <v>55</v>
      </c>
      <c r="L39" s="5">
        <v>46</v>
      </c>
      <c r="M39" s="25">
        <f t="shared" si="3"/>
        <v>-9.6798929863317729E-2</v>
      </c>
      <c r="O39">
        <f t="shared" si="1"/>
        <v>115</v>
      </c>
      <c r="P39">
        <f t="shared" si="4"/>
        <v>103.86812306571846</v>
      </c>
      <c r="Q39">
        <f t="shared" ref="Q39:X39" si="39">P39*(1+$M39)</f>
        <v>93.813799906045531</v>
      </c>
      <c r="R39">
        <f t="shared" si="39"/>
        <v>84.732724468728904</v>
      </c>
      <c r="S39">
        <f t="shared" si="39"/>
        <v>76.530687415752595</v>
      </c>
      <c r="T39">
        <f t="shared" si="39"/>
        <v>69.122598772203673</v>
      </c>
      <c r="U39">
        <f t="shared" si="39"/>
        <v>62.431605181682876</v>
      </c>
      <c r="V39">
        <f t="shared" si="39"/>
        <v>56.388292610446811</v>
      </c>
      <c r="W39">
        <f t="shared" si="39"/>
        <v>50.929966228935932</v>
      </c>
      <c r="X39">
        <f t="shared" si="39"/>
        <v>46.000000000000021</v>
      </c>
    </row>
    <row r="40" spans="1:24" x14ac:dyDescent="0.2">
      <c r="A40" t="s">
        <v>70</v>
      </c>
      <c r="B40" t="s">
        <v>67</v>
      </c>
      <c r="C40" s="5">
        <v>4901</v>
      </c>
      <c r="D40" s="5">
        <v>6437</v>
      </c>
      <c r="E40" s="5">
        <v>6334</v>
      </c>
      <c r="F40" s="5">
        <v>6709</v>
      </c>
      <c r="G40" s="5">
        <v>7192</v>
      </c>
      <c r="H40" s="5">
        <v>8084</v>
      </c>
      <c r="I40" s="5">
        <v>9084</v>
      </c>
      <c r="J40" s="5">
        <v>10527</v>
      </c>
      <c r="K40" s="5">
        <v>11291</v>
      </c>
      <c r="L40" s="5">
        <v>11195</v>
      </c>
      <c r="M40" s="25">
        <f t="shared" si="3"/>
        <v>9.6124620748959E-2</v>
      </c>
      <c r="O40">
        <f t="shared" si="1"/>
        <v>4901</v>
      </c>
      <c r="P40">
        <f t="shared" si="4"/>
        <v>5372.106766290648</v>
      </c>
      <c r="Q40">
        <f t="shared" ref="Q40:X40" si="40">P40*(1+$M40)</f>
        <v>5888.4984918232531</v>
      </c>
      <c r="R40">
        <f t="shared" si="40"/>
        <v>6454.5281761305805</v>
      </c>
      <c r="S40">
        <f t="shared" si="40"/>
        <v>7074.9672491746023</v>
      </c>
      <c r="T40">
        <f t="shared" si="40"/>
        <v>7755.0457928128171</v>
      </c>
      <c r="U40">
        <f t="shared" si="40"/>
        <v>8500.4966285377595</v>
      </c>
      <c r="V40">
        <f t="shared" si="40"/>
        <v>9317.6036431337561</v>
      </c>
      <c r="W40">
        <f t="shared" si="40"/>
        <v>10213.254759619107</v>
      </c>
      <c r="X40">
        <f t="shared" si="40"/>
        <v>11194.999999999995</v>
      </c>
    </row>
    <row r="41" spans="1:24" x14ac:dyDescent="0.2">
      <c r="A41" t="s">
        <v>71</v>
      </c>
      <c r="B41" t="s">
        <v>69</v>
      </c>
      <c r="C41" s="5">
        <v>326</v>
      </c>
      <c r="D41" s="5">
        <v>340</v>
      </c>
      <c r="E41" s="5">
        <v>375</v>
      </c>
      <c r="F41" s="5">
        <v>281</v>
      </c>
      <c r="G41" s="5">
        <v>293</v>
      </c>
      <c r="H41" s="5">
        <v>261</v>
      </c>
      <c r="I41" s="5">
        <v>232</v>
      </c>
      <c r="J41" s="5">
        <v>251</v>
      </c>
      <c r="K41" s="5">
        <v>241</v>
      </c>
      <c r="L41" s="5">
        <v>227</v>
      </c>
      <c r="M41" s="25">
        <f t="shared" si="3"/>
        <v>-3.9418427986722238E-2</v>
      </c>
      <c r="O41">
        <f t="shared" si="1"/>
        <v>326</v>
      </c>
      <c r="P41">
        <f t="shared" si="4"/>
        <v>313.14959247632856</v>
      </c>
      <c r="Q41">
        <f t="shared" ref="Q41:X41" si="41">P41*(1+$M41)</f>
        <v>300.80572781622897</v>
      </c>
      <c r="R41">
        <f t="shared" si="41"/>
        <v>288.94843889631136</v>
      </c>
      <c r="S41">
        <f t="shared" si="41"/>
        <v>277.55854566580132</v>
      </c>
      <c r="T41">
        <f t="shared" si="41"/>
        <v>266.61762412137455</v>
      </c>
      <c r="U41">
        <f t="shared" si="41"/>
        <v>256.10797650495516</v>
      </c>
      <c r="V41">
        <f t="shared" si="41"/>
        <v>246.01260267626944</v>
      </c>
      <c r="W41">
        <f t="shared" si="41"/>
        <v>236.3151726138488</v>
      </c>
      <c r="X41">
        <f t="shared" si="41"/>
        <v>226.99999999999997</v>
      </c>
    </row>
    <row r="42" spans="1:24" ht="14.25" x14ac:dyDescent="0.2">
      <c r="A42" t="s">
        <v>73</v>
      </c>
      <c r="B42" s="6" t="s">
        <v>155</v>
      </c>
      <c r="C42" s="5">
        <v>1225</v>
      </c>
      <c r="D42" s="5">
        <v>1333</v>
      </c>
      <c r="E42" s="5">
        <v>1188</v>
      </c>
      <c r="F42" s="5">
        <v>1165</v>
      </c>
      <c r="G42" s="5">
        <v>1151</v>
      </c>
      <c r="H42" s="5">
        <v>1052</v>
      </c>
      <c r="I42" s="5">
        <v>763</v>
      </c>
      <c r="J42" s="5">
        <v>1043</v>
      </c>
      <c r="K42" s="5">
        <v>1133</v>
      </c>
      <c r="L42" s="5">
        <v>999</v>
      </c>
      <c r="M42" s="25">
        <f t="shared" si="3"/>
        <v>-2.2405336513421692E-2</v>
      </c>
      <c r="O42">
        <f t="shared" si="1"/>
        <v>1225</v>
      </c>
      <c r="P42">
        <f t="shared" si="4"/>
        <v>1197.5534627710583</v>
      </c>
      <c r="Q42">
        <f t="shared" ref="Q42:X42" si="42">P42*(1+$M42)</f>
        <v>1170.7218744448594</v>
      </c>
      <c r="R42">
        <f t="shared" si="42"/>
        <v>1144.4914568842985</v>
      </c>
      <c r="S42">
        <f t="shared" si="42"/>
        <v>1118.8487406560696</v>
      </c>
      <c r="T42">
        <f t="shared" si="42"/>
        <v>1093.7805581140524</v>
      </c>
      <c r="U42">
        <f t="shared" si="42"/>
        <v>1069.2740366376688</v>
      </c>
      <c r="V42">
        <f t="shared" si="42"/>
        <v>1045.3165920217371</v>
      </c>
      <c r="W42">
        <f t="shared" si="42"/>
        <v>1021.8959220144269</v>
      </c>
      <c r="X42">
        <f t="shared" si="42"/>
        <v>999.00000000000034</v>
      </c>
    </row>
    <row r="43" spans="1:24" x14ac:dyDescent="0.2">
      <c r="A43" t="s">
        <v>75</v>
      </c>
      <c r="B43" t="s">
        <v>72</v>
      </c>
      <c r="C43" s="5">
        <v>75</v>
      </c>
      <c r="D43" s="5">
        <v>64</v>
      </c>
      <c r="E43" s="5">
        <v>54</v>
      </c>
      <c r="F43" s="5">
        <v>30</v>
      </c>
      <c r="G43" s="5">
        <v>31</v>
      </c>
      <c r="H43" s="5">
        <v>27</v>
      </c>
      <c r="I43" s="5">
        <v>24</v>
      </c>
      <c r="J43" s="5">
        <v>26</v>
      </c>
      <c r="K43" s="5">
        <v>25</v>
      </c>
      <c r="L43" s="5">
        <v>23</v>
      </c>
      <c r="M43" s="25">
        <f t="shared" si="3"/>
        <v>-0.12307398821093596</v>
      </c>
      <c r="O43">
        <f t="shared" si="1"/>
        <v>75</v>
      </c>
      <c r="P43">
        <f t="shared" si="4"/>
        <v>65.769450884179804</v>
      </c>
      <c r="Q43">
        <f t="shared" ref="Q43:X43" si="43">P43*(1+$M43)</f>
        <v>57.674942261420526</v>
      </c>
      <c r="R43">
        <f t="shared" si="43"/>
        <v>50.576657097472044</v>
      </c>
      <c r="S43">
        <f t="shared" si="43"/>
        <v>44.351986198109216</v>
      </c>
      <c r="T43">
        <f t="shared" si="43"/>
        <v>38.893410371631525</v>
      </c>
      <c r="U43">
        <f t="shared" si="43"/>
        <v>34.106643242070255</v>
      </c>
      <c r="V43">
        <f t="shared" si="43"/>
        <v>29.909002633781103</v>
      </c>
      <c r="W43">
        <f t="shared" si="43"/>
        <v>26.227982396230274</v>
      </c>
      <c r="X43">
        <f t="shared" si="43"/>
        <v>22.999999999999993</v>
      </c>
    </row>
    <row r="44" spans="1:24" x14ac:dyDescent="0.2">
      <c r="A44" t="s">
        <v>77</v>
      </c>
      <c r="B44" t="s">
        <v>74</v>
      </c>
      <c r="C44" s="5">
        <v>232</v>
      </c>
      <c r="D44" s="5">
        <v>261</v>
      </c>
      <c r="E44" s="5">
        <v>307</v>
      </c>
      <c r="F44" s="5">
        <v>253</v>
      </c>
      <c r="G44" s="5">
        <v>262</v>
      </c>
      <c r="H44" s="5">
        <v>234</v>
      </c>
      <c r="I44" s="5">
        <v>206</v>
      </c>
      <c r="J44" s="5">
        <v>223</v>
      </c>
      <c r="K44" s="5">
        <v>213</v>
      </c>
      <c r="L44" s="5">
        <v>201</v>
      </c>
      <c r="M44" s="25">
        <f t="shared" si="3"/>
        <v>-1.5810619313615493E-2</v>
      </c>
      <c r="O44">
        <f t="shared" si="1"/>
        <v>232</v>
      </c>
      <c r="P44">
        <f t="shared" si="4"/>
        <v>228.33193631924121</v>
      </c>
      <c r="Q44">
        <f t="shared" ref="Q44:X44" si="44">P44*(1+$M44)</f>
        <v>224.721866996957</v>
      </c>
      <c r="R44">
        <f t="shared" si="44"/>
        <v>221.16887510642317</v>
      </c>
      <c r="S44">
        <f t="shared" si="44"/>
        <v>217.67205821809495</v>
      </c>
      <c r="T44">
        <f t="shared" si="44"/>
        <v>214.23052817039749</v>
      </c>
      <c r="U44">
        <f t="shared" si="44"/>
        <v>210.84341084414055</v>
      </c>
      <c r="V44">
        <f t="shared" si="44"/>
        <v>207.50984594049962</v>
      </c>
      <c r="W44">
        <f t="shared" si="44"/>
        <v>204.22898676250739</v>
      </c>
      <c r="X44">
        <f t="shared" si="44"/>
        <v>200.99999999999997</v>
      </c>
    </row>
    <row r="45" spans="1:24" x14ac:dyDescent="0.2">
      <c r="A45" t="s">
        <v>79</v>
      </c>
      <c r="B45" t="s">
        <v>76</v>
      </c>
      <c r="C45" s="5">
        <v>47</v>
      </c>
      <c r="D45" s="5">
        <v>73</v>
      </c>
      <c r="E45" s="5">
        <v>26</v>
      </c>
      <c r="F45" s="5">
        <v>87</v>
      </c>
      <c r="G45" s="5">
        <v>88</v>
      </c>
      <c r="H45" s="5">
        <v>60</v>
      </c>
      <c r="I45" s="5">
        <v>18</v>
      </c>
      <c r="J45" s="5">
        <v>43</v>
      </c>
      <c r="K45" s="5">
        <v>54</v>
      </c>
      <c r="L45" s="5">
        <v>35</v>
      </c>
      <c r="M45" s="25">
        <f t="shared" si="3"/>
        <v>-3.222485263589181E-2</v>
      </c>
      <c r="O45">
        <f t="shared" si="1"/>
        <v>47</v>
      </c>
      <c r="P45">
        <f t="shared" si="4"/>
        <v>45.485431926113087</v>
      </c>
      <c r="Q45">
        <f t="shared" ref="Q45:X45" si="45">P45*(1+$M45)</f>
        <v>44.019670585214207</v>
      </c>
      <c r="R45">
        <f t="shared" si="45"/>
        <v>42.601143187525182</v>
      </c>
      <c r="S45">
        <f t="shared" si="45"/>
        <v>41.228327626186655</v>
      </c>
      <c r="T45">
        <f t="shared" si="45"/>
        <v>39.899750844008523</v>
      </c>
      <c r="U45">
        <f t="shared" si="45"/>
        <v>38.613987252851551</v>
      </c>
      <c r="V45">
        <f t="shared" si="45"/>
        <v>37.369657203944207</v>
      </c>
      <c r="W45">
        <f t="shared" si="45"/>
        <v>36.16542550749331</v>
      </c>
      <c r="X45">
        <f t="shared" si="45"/>
        <v>35.000000000000014</v>
      </c>
    </row>
    <row r="46" spans="1:24" x14ac:dyDescent="0.2">
      <c r="A46" t="s">
        <v>81</v>
      </c>
      <c r="B46" t="s">
        <v>78</v>
      </c>
      <c r="C46" s="5">
        <v>325</v>
      </c>
      <c r="D46" s="5">
        <v>358</v>
      </c>
      <c r="E46" s="5">
        <v>246</v>
      </c>
      <c r="F46" s="5">
        <v>262</v>
      </c>
      <c r="G46" s="5">
        <v>252</v>
      </c>
      <c r="H46" s="5">
        <v>269</v>
      </c>
      <c r="I46" s="5">
        <v>184</v>
      </c>
      <c r="J46" s="5">
        <v>288</v>
      </c>
      <c r="K46" s="5">
        <v>364</v>
      </c>
      <c r="L46" s="5">
        <v>331</v>
      </c>
      <c r="M46" s="25">
        <f t="shared" si="3"/>
        <v>2.034644090165294E-3</v>
      </c>
      <c r="O46">
        <f t="shared" si="1"/>
        <v>325</v>
      </c>
      <c r="P46">
        <f t="shared" si="4"/>
        <v>325.66125932930373</v>
      </c>
      <c r="Q46">
        <f t="shared" ref="Q46:X46" si="46">P46*(1+$M46)</f>
        <v>326.32386408599388</v>
      </c>
      <c r="R46">
        <f t="shared" si="46"/>
        <v>326.98781700753636</v>
      </c>
      <c r="S46">
        <f t="shared" si="46"/>
        <v>327.65312083696682</v>
      </c>
      <c r="T46">
        <f t="shared" si="46"/>
        <v>328.31977832290198</v>
      </c>
      <c r="U46">
        <f t="shared" si="46"/>
        <v>328.98779221955107</v>
      </c>
      <c r="V46">
        <f t="shared" si="46"/>
        <v>329.65716528672709</v>
      </c>
      <c r="W46">
        <f t="shared" si="46"/>
        <v>330.32790028985835</v>
      </c>
      <c r="X46">
        <f t="shared" si="46"/>
        <v>330.99999999999983</v>
      </c>
    </row>
    <row r="47" spans="1:24" x14ac:dyDescent="0.2">
      <c r="A47" t="s">
        <v>83</v>
      </c>
      <c r="B47" t="s">
        <v>80</v>
      </c>
      <c r="C47" s="5">
        <v>549</v>
      </c>
      <c r="D47" s="5">
        <v>581</v>
      </c>
      <c r="E47" s="5">
        <v>554</v>
      </c>
      <c r="F47" s="5">
        <v>533</v>
      </c>
      <c r="G47" s="5">
        <v>518</v>
      </c>
      <c r="H47" s="5">
        <v>461</v>
      </c>
      <c r="I47" s="5">
        <v>336</v>
      </c>
      <c r="J47" s="5">
        <v>463</v>
      </c>
      <c r="K47" s="5">
        <v>469</v>
      </c>
      <c r="L47" s="5">
        <v>405</v>
      </c>
      <c r="M47" s="25">
        <f t="shared" si="3"/>
        <v>-3.3236383547282422E-2</v>
      </c>
      <c r="O47">
        <f t="shared" si="1"/>
        <v>549</v>
      </c>
      <c r="P47">
        <f t="shared" si="4"/>
        <v>530.75322543254197</v>
      </c>
      <c r="Q47">
        <f t="shared" ref="Q47:X47" si="47">P47*(1+$M47)</f>
        <v>513.11290766310879</v>
      </c>
      <c r="R47">
        <f t="shared" si="47"/>
        <v>496.05889026095639</v>
      </c>
      <c r="S47">
        <f t="shared" si="47"/>
        <v>479.57168672220394</v>
      </c>
      <c r="T47">
        <f t="shared" si="47"/>
        <v>463.63245820388761</v>
      </c>
      <c r="U47">
        <f t="shared" si="47"/>
        <v>448.22299199805383</v>
      </c>
      <c r="V47">
        <f t="shared" si="47"/>
        <v>433.32568072129601</v>
      </c>
      <c r="W47">
        <f t="shared" si="47"/>
        <v>418.92350219595579</v>
      </c>
      <c r="X47">
        <f t="shared" si="47"/>
        <v>405.00000000000017</v>
      </c>
    </row>
    <row r="48" spans="1:24" x14ac:dyDescent="0.2">
      <c r="A48" t="s">
        <v>85</v>
      </c>
      <c r="B48" t="s">
        <v>82</v>
      </c>
      <c r="C48" s="5">
        <v>115075</v>
      </c>
      <c r="D48" s="5">
        <v>117755</v>
      </c>
      <c r="E48" s="5">
        <v>119286</v>
      </c>
      <c r="F48" s="5">
        <v>124107</v>
      </c>
      <c r="G48" s="5">
        <v>128520</v>
      </c>
      <c r="H48" s="5">
        <v>130013</v>
      </c>
      <c r="I48" s="5">
        <v>106898</v>
      </c>
      <c r="J48" s="5">
        <v>126252</v>
      </c>
      <c r="K48" s="5">
        <v>134490</v>
      </c>
      <c r="L48" s="5">
        <v>139077</v>
      </c>
      <c r="M48" s="25">
        <f t="shared" si="3"/>
        <v>2.1272393098460629E-2</v>
      </c>
      <c r="O48">
        <f t="shared" si="1"/>
        <v>115075</v>
      </c>
      <c r="P48">
        <f t="shared" si="4"/>
        <v>117522.92063580536</v>
      </c>
      <c r="Q48">
        <f t="shared" ref="Q48:X48" si="48">P48*(1+$M48)</f>
        <v>120022.91440164941</v>
      </c>
      <c r="R48">
        <f t="shared" si="48"/>
        <v>122576.08901762418</v>
      </c>
      <c r="S48">
        <f t="shared" si="48"/>
        <v>125183.57576767898</v>
      </c>
      <c r="T48">
        <f t="shared" si="48"/>
        <v>127846.53000087998</v>
      </c>
      <c r="U48">
        <f t="shared" si="48"/>
        <v>130566.13164333285</v>
      </c>
      <c r="V48">
        <f t="shared" si="48"/>
        <v>133343.58572099518</v>
      </c>
      <c r="W48">
        <f t="shared" si="48"/>
        <v>136180.12289361047</v>
      </c>
      <c r="X48">
        <f t="shared" si="48"/>
        <v>139077.00000000003</v>
      </c>
    </row>
    <row r="49" spans="1:24" x14ac:dyDescent="0.2">
      <c r="A49" t="s">
        <v>87</v>
      </c>
      <c r="B49" t="s">
        <v>84</v>
      </c>
      <c r="C49" s="5">
        <v>8460</v>
      </c>
      <c r="D49" s="5">
        <v>7670</v>
      </c>
      <c r="E49" s="5">
        <v>6883</v>
      </c>
      <c r="F49" s="5">
        <v>8074</v>
      </c>
      <c r="G49" s="5">
        <v>8632</v>
      </c>
      <c r="H49" s="5">
        <v>8065</v>
      </c>
      <c r="I49" s="5">
        <v>7463</v>
      </c>
      <c r="J49" s="5">
        <v>8953</v>
      </c>
      <c r="K49" s="5">
        <v>10364</v>
      </c>
      <c r="L49" s="5">
        <v>10446</v>
      </c>
      <c r="M49" s="25">
        <f t="shared" si="3"/>
        <v>2.3706633814027489E-2</v>
      </c>
      <c r="O49">
        <f t="shared" si="1"/>
        <v>8460</v>
      </c>
      <c r="P49">
        <f t="shared" si="4"/>
        <v>8660.5581220666718</v>
      </c>
      <c r="Q49">
        <f t="shared" ref="Q49:X49" si="49">P49*(1+$M49)</f>
        <v>8865.8708020916074</v>
      </c>
      <c r="R49">
        <f t="shared" si="49"/>
        <v>9076.050754639271</v>
      </c>
      <c r="S49">
        <f t="shared" si="49"/>
        <v>9291.2133663570312</v>
      </c>
      <c r="T49">
        <f t="shared" si="49"/>
        <v>9511.4767593212546</v>
      </c>
      <c r="U49">
        <f t="shared" si="49"/>
        <v>9736.9618558851162</v>
      </c>
      <c r="V49">
        <f t="shared" si="49"/>
        <v>9967.7924450637383</v>
      </c>
      <c r="W49">
        <f t="shared" si="49"/>
        <v>10204.095250493094</v>
      </c>
      <c r="X49">
        <f t="shared" si="49"/>
        <v>10445.999999999991</v>
      </c>
    </row>
    <row r="50" spans="1:24" x14ac:dyDescent="0.2">
      <c r="A50" t="s">
        <v>89</v>
      </c>
      <c r="B50" t="s">
        <v>86</v>
      </c>
      <c r="C50" s="5">
        <v>4891</v>
      </c>
      <c r="D50" s="5">
        <v>4244</v>
      </c>
      <c r="E50" s="5">
        <v>3542</v>
      </c>
      <c r="F50" s="5">
        <v>5170</v>
      </c>
      <c r="G50" s="5">
        <v>5585</v>
      </c>
      <c r="H50" s="5">
        <v>5140</v>
      </c>
      <c r="I50" s="5">
        <v>5603</v>
      </c>
      <c r="J50" s="5">
        <v>6603</v>
      </c>
      <c r="K50" s="5">
        <v>7329</v>
      </c>
      <c r="L50" s="5">
        <v>7387</v>
      </c>
      <c r="M50" s="25">
        <f t="shared" si="3"/>
        <v>4.6879547251921005E-2</v>
      </c>
      <c r="O50">
        <f t="shared" si="1"/>
        <v>4891</v>
      </c>
      <c r="P50">
        <f t="shared" si="4"/>
        <v>5120.2878656091452</v>
      </c>
      <c r="Q50">
        <f t="shared" ref="Q50:X50" si="50">P50*(1+$M50)</f>
        <v>5360.3246425484067</v>
      </c>
      <c r="R50">
        <f t="shared" si="50"/>
        <v>5611.6142349143911</v>
      </c>
      <c r="S50">
        <f t="shared" si="50"/>
        <v>5874.6841695996127</v>
      </c>
      <c r="T50">
        <f t="shared" si="50"/>
        <v>6150.0867037184698</v>
      </c>
      <c r="U50">
        <f t="shared" si="50"/>
        <v>6438.3999839488506</v>
      </c>
      <c r="V50">
        <f t="shared" si="50"/>
        <v>6740.2292602231482</v>
      </c>
      <c r="W50">
        <f t="shared" si="50"/>
        <v>7056.2081563165602</v>
      </c>
      <c r="X50">
        <f t="shared" si="50"/>
        <v>7386.9999999999927</v>
      </c>
    </row>
    <row r="51" spans="1:24" x14ac:dyDescent="0.2">
      <c r="A51" t="s">
        <v>91</v>
      </c>
      <c r="B51" t="s">
        <v>88</v>
      </c>
      <c r="C51" s="5">
        <v>3571</v>
      </c>
      <c r="D51" s="5">
        <v>3428</v>
      </c>
      <c r="E51" s="5">
        <v>3343</v>
      </c>
      <c r="F51" s="5">
        <v>2904</v>
      </c>
      <c r="G51" s="5">
        <v>3048</v>
      </c>
      <c r="H51" s="5">
        <v>2924</v>
      </c>
      <c r="I51" s="5">
        <v>1868</v>
      </c>
      <c r="J51" s="5">
        <v>2358</v>
      </c>
      <c r="K51" s="5">
        <v>3042</v>
      </c>
      <c r="L51" s="5">
        <v>3066</v>
      </c>
      <c r="M51" s="25">
        <f t="shared" si="3"/>
        <v>-1.6798623692722336E-2</v>
      </c>
      <c r="O51">
        <f t="shared" si="1"/>
        <v>3571</v>
      </c>
      <c r="P51">
        <f t="shared" si="4"/>
        <v>3511.0121147932887</v>
      </c>
      <c r="Q51">
        <f t="shared" ref="Q51:X51" si="51">P51*(1+$M51)</f>
        <v>3452.0319434962871</v>
      </c>
      <c r="R51">
        <f t="shared" si="51"/>
        <v>3394.0425579022362</v>
      </c>
      <c r="S51">
        <f t="shared" si="51"/>
        <v>3337.0273141749517</v>
      </c>
      <c r="T51">
        <f t="shared" si="51"/>
        <v>3280.9698480717907</v>
      </c>
      <c r="U51">
        <f t="shared" si="51"/>
        <v>3225.8540702468645</v>
      </c>
      <c r="V51">
        <f t="shared" si="51"/>
        <v>3171.6641616331508</v>
      </c>
      <c r="W51">
        <f t="shared" si="51"/>
        <v>3118.3845689021819</v>
      </c>
      <c r="X51">
        <f t="shared" si="51"/>
        <v>3066.0000000000018</v>
      </c>
    </row>
    <row r="52" spans="1:24" x14ac:dyDescent="0.2">
      <c r="A52" t="s">
        <v>93</v>
      </c>
      <c r="B52" t="s">
        <v>90</v>
      </c>
      <c r="C52" s="5">
        <v>1412</v>
      </c>
      <c r="D52" s="5">
        <v>1674</v>
      </c>
      <c r="E52" s="5">
        <v>2392</v>
      </c>
      <c r="F52" s="5">
        <v>3033</v>
      </c>
      <c r="G52" s="5">
        <v>3022</v>
      </c>
      <c r="H52" s="5">
        <v>2888</v>
      </c>
      <c r="I52" s="5">
        <v>2993</v>
      </c>
      <c r="J52" s="5">
        <v>3421</v>
      </c>
      <c r="K52" s="5">
        <v>3065</v>
      </c>
      <c r="L52" s="5">
        <v>3079</v>
      </c>
      <c r="M52" s="25">
        <f t="shared" si="3"/>
        <v>9.0484365969242031E-2</v>
      </c>
      <c r="O52">
        <f t="shared" si="1"/>
        <v>1412</v>
      </c>
      <c r="P52">
        <f t="shared" si="4"/>
        <v>1539.7639247485697</v>
      </c>
      <c r="Q52">
        <f t="shared" ref="Q52:X52" si="52">P52*(1+$M52)</f>
        <v>1679.0884872217557</v>
      </c>
      <c r="R52">
        <f t="shared" si="52"/>
        <v>1831.01974439427</v>
      </c>
      <c r="S52">
        <f t="shared" si="52"/>
        <v>1996.6984050429492</v>
      </c>
      <c r="T52">
        <f t="shared" si="52"/>
        <v>2177.3683942550574</v>
      </c>
      <c r="U52">
        <f t="shared" si="52"/>
        <v>2374.3861928906931</v>
      </c>
      <c r="V52">
        <f t="shared" si="52"/>
        <v>2589.2310221205298</v>
      </c>
      <c r="W52">
        <f t="shared" si="52"/>
        <v>2823.5159495049984</v>
      </c>
      <c r="X52">
        <f t="shared" si="52"/>
        <v>3079.0000000000005</v>
      </c>
    </row>
    <row r="53" spans="1:24" x14ac:dyDescent="0.2">
      <c r="A53" t="s">
        <v>95</v>
      </c>
      <c r="B53" t="s">
        <v>92</v>
      </c>
      <c r="C53" s="5">
        <v>16530</v>
      </c>
      <c r="D53" s="5">
        <v>16564</v>
      </c>
      <c r="E53" s="5">
        <v>16205</v>
      </c>
      <c r="F53" s="5">
        <v>15977</v>
      </c>
      <c r="G53" s="5">
        <v>16059</v>
      </c>
      <c r="H53" s="5">
        <v>17067</v>
      </c>
      <c r="I53" s="5">
        <v>15224</v>
      </c>
      <c r="J53" s="5">
        <v>16299</v>
      </c>
      <c r="K53" s="5">
        <v>16437</v>
      </c>
      <c r="L53" s="5">
        <v>17110</v>
      </c>
      <c r="M53" s="25">
        <f t="shared" si="3"/>
        <v>3.8391480624990759E-3</v>
      </c>
      <c r="O53">
        <f t="shared" si="1"/>
        <v>16530</v>
      </c>
      <c r="P53">
        <f t="shared" si="4"/>
        <v>16593.461117473111</v>
      </c>
      <c r="Q53">
        <f t="shared" ref="Q53:X53" si="53">P53*(1+$M53)</f>
        <v>16657.165871572412</v>
      </c>
      <c r="R53">
        <f t="shared" si="53"/>
        <v>16721.115197654985</v>
      </c>
      <c r="S53">
        <f t="shared" si="53"/>
        <v>16785.310034668884</v>
      </c>
      <c r="T53">
        <f t="shared" si="53"/>
        <v>16849.75132516693</v>
      </c>
      <c r="U53">
        <f t="shared" si="53"/>
        <v>16914.440015320535</v>
      </c>
      <c r="V53">
        <f t="shared" si="53"/>
        <v>16979.377054933611</v>
      </c>
      <c r="W53">
        <f t="shared" si="53"/>
        <v>17044.563397456503</v>
      </c>
      <c r="X53">
        <f t="shared" si="53"/>
        <v>17109.999999999989</v>
      </c>
    </row>
    <row r="54" spans="1:24" x14ac:dyDescent="0.2">
      <c r="A54" t="s">
        <v>97</v>
      </c>
      <c r="B54" t="s">
        <v>94</v>
      </c>
      <c r="C54" s="5">
        <v>1236</v>
      </c>
      <c r="D54" s="5">
        <v>1243</v>
      </c>
      <c r="E54" s="5">
        <v>1291</v>
      </c>
      <c r="F54" s="5">
        <v>1274</v>
      </c>
      <c r="G54" s="5">
        <v>1265</v>
      </c>
      <c r="H54" s="5">
        <v>1370</v>
      </c>
      <c r="I54" s="5">
        <v>969</v>
      </c>
      <c r="J54" s="5">
        <v>1143</v>
      </c>
      <c r="K54" s="5">
        <v>1311</v>
      </c>
      <c r="L54" s="5">
        <v>1304</v>
      </c>
      <c r="M54" s="25">
        <f t="shared" si="3"/>
        <v>5.9684187320867554E-3</v>
      </c>
      <c r="O54">
        <f t="shared" si="1"/>
        <v>1236</v>
      </c>
      <c r="P54">
        <f t="shared" si="4"/>
        <v>1243.3769655528592</v>
      </c>
      <c r="Q54">
        <f t="shared" ref="Q54:X54" si="54">P54*(1+$M54)</f>
        <v>1250.79795992511</v>
      </c>
      <c r="R54">
        <f t="shared" si="54"/>
        <v>1258.2632458991829</v>
      </c>
      <c r="S54">
        <f t="shared" si="54"/>
        <v>1265.773087825904</v>
      </c>
      <c r="T54">
        <f t="shared" si="54"/>
        <v>1273.3277516338553</v>
      </c>
      <c r="U54">
        <f t="shared" si="54"/>
        <v>1280.9275048387926</v>
      </c>
      <c r="V54">
        <f t="shared" si="54"/>
        <v>1288.5726165531175</v>
      </c>
      <c r="W54">
        <f t="shared" si="54"/>
        <v>1296.2633574954073</v>
      </c>
      <c r="X54">
        <f t="shared" si="54"/>
        <v>1304.0000000000005</v>
      </c>
    </row>
    <row r="55" spans="1:24" x14ac:dyDescent="0.2">
      <c r="A55" t="s">
        <v>99</v>
      </c>
      <c r="B55" t="s">
        <v>96</v>
      </c>
      <c r="C55" s="5">
        <v>8749</v>
      </c>
      <c r="D55" s="5">
        <v>9021</v>
      </c>
      <c r="E55" s="5">
        <v>9065</v>
      </c>
      <c r="F55" s="5">
        <v>8656</v>
      </c>
      <c r="G55" s="5">
        <v>8325</v>
      </c>
      <c r="H55" s="5">
        <v>8807</v>
      </c>
      <c r="I55" s="5">
        <v>8407</v>
      </c>
      <c r="J55" s="5">
        <v>8564</v>
      </c>
      <c r="K55" s="5">
        <v>8660</v>
      </c>
      <c r="L55" s="5">
        <v>8836</v>
      </c>
      <c r="M55" s="25">
        <f t="shared" si="3"/>
        <v>1.1000354215919828E-3</v>
      </c>
      <c r="O55">
        <f t="shared" si="1"/>
        <v>8749</v>
      </c>
      <c r="P55">
        <f t="shared" si="4"/>
        <v>8758.624209903508</v>
      </c>
      <c r="Q55">
        <f t="shared" ref="Q55:X55" si="55">P55*(1+$M55)</f>
        <v>8768.2590067788151</v>
      </c>
      <c r="R55">
        <f t="shared" si="55"/>
        <v>8777.9044022719645</v>
      </c>
      <c r="S55">
        <f t="shared" si="55"/>
        <v>8787.5604080418125</v>
      </c>
      <c r="T55">
        <f t="shared" si="55"/>
        <v>8797.2270357600373</v>
      </c>
      <c r="U55">
        <f t="shared" si="55"/>
        <v>8806.9042971111594</v>
      </c>
      <c r="V55">
        <f t="shared" si="55"/>
        <v>8816.592203792552</v>
      </c>
      <c r="W55">
        <f t="shared" si="55"/>
        <v>8826.2907675144561</v>
      </c>
      <c r="X55">
        <f t="shared" si="55"/>
        <v>8835.9999999999927</v>
      </c>
    </row>
    <row r="56" spans="1:24" x14ac:dyDescent="0.2">
      <c r="A56" t="s">
        <v>101</v>
      </c>
      <c r="B56" t="s">
        <v>98</v>
      </c>
      <c r="C56" s="5">
        <v>47</v>
      </c>
      <c r="D56" s="5">
        <v>46</v>
      </c>
      <c r="E56" s="5">
        <v>49</v>
      </c>
      <c r="F56" s="5">
        <v>25</v>
      </c>
      <c r="G56" s="5">
        <v>21</v>
      </c>
      <c r="H56" s="5">
        <v>25</v>
      </c>
      <c r="I56" s="5">
        <v>37</v>
      </c>
      <c r="J56" s="5">
        <v>46</v>
      </c>
      <c r="K56" s="5">
        <v>35</v>
      </c>
      <c r="L56" s="5">
        <v>37</v>
      </c>
      <c r="M56" s="25">
        <f t="shared" si="3"/>
        <v>-2.6230909215952947E-2</v>
      </c>
      <c r="O56">
        <f t="shared" si="1"/>
        <v>47</v>
      </c>
      <c r="P56">
        <f t="shared" si="4"/>
        <v>45.767147266850209</v>
      </c>
      <c r="Q56">
        <f t="shared" ref="Q56:X56" si="56">P56*(1+$M56)</f>
        <v>44.56663338182031</v>
      </c>
      <c r="R56">
        <f t="shared" si="56"/>
        <v>43.397610067521121</v>
      </c>
      <c r="S56">
        <f t="shared" si="56"/>
        <v>42.25925129765065</v>
      </c>
      <c r="T56">
        <f t="shared" si="56"/>
        <v>41.150752713327833</v>
      </c>
      <c r="U56">
        <f t="shared" si="56"/>
        <v>40.071331054736405</v>
      </c>
      <c r="V56">
        <f t="shared" si="56"/>
        <v>39.020223607677217</v>
      </c>
      <c r="W56">
        <f t="shared" si="56"/>
        <v>37.996687664638053</v>
      </c>
      <c r="X56">
        <f t="shared" si="56"/>
        <v>37.000000000000014</v>
      </c>
    </row>
    <row r="57" spans="1:24" x14ac:dyDescent="0.2">
      <c r="A57" t="s">
        <v>102</v>
      </c>
      <c r="B57" t="s">
        <v>100</v>
      </c>
      <c r="C57" s="5">
        <v>209</v>
      </c>
      <c r="D57" s="5">
        <v>191</v>
      </c>
      <c r="E57" s="5">
        <v>173</v>
      </c>
      <c r="F57" s="5">
        <v>111</v>
      </c>
      <c r="G57" s="5">
        <v>108</v>
      </c>
      <c r="H57" s="5">
        <v>106</v>
      </c>
      <c r="I57" s="5">
        <v>122</v>
      </c>
      <c r="J57" s="5">
        <v>125</v>
      </c>
      <c r="K57" s="5">
        <v>103</v>
      </c>
      <c r="L57" s="5">
        <v>112</v>
      </c>
      <c r="M57" s="25">
        <f t="shared" si="3"/>
        <v>-6.6967310990358464E-2</v>
      </c>
      <c r="O57">
        <f t="shared" si="1"/>
        <v>209</v>
      </c>
      <c r="P57">
        <f t="shared" si="4"/>
        <v>195.00383200301508</v>
      </c>
      <c r="Q57">
        <f t="shared" ref="Q57:X57" si="57">P57*(1+$M57)</f>
        <v>181.94494974095755</v>
      </c>
      <c r="R57">
        <f t="shared" si="57"/>
        <v>169.7605857085297</v>
      </c>
      <c r="S57">
        <f t="shared" si="57"/>
        <v>158.39217577148119</v>
      </c>
      <c r="T57">
        <f t="shared" si="57"/>
        <v>147.7850776781529</v>
      </c>
      <c r="U57">
        <f t="shared" si="57"/>
        <v>137.88830842154576</v>
      </c>
      <c r="V57">
        <f t="shared" si="57"/>
        <v>128.65429918954564</v>
      </c>
      <c r="W57">
        <f t="shared" si="57"/>
        <v>120.03866672547271</v>
      </c>
      <c r="X57">
        <f t="shared" si="57"/>
        <v>111.99999999999999</v>
      </c>
    </row>
    <row r="58" spans="1:24" ht="14.25" x14ac:dyDescent="0.2">
      <c r="A58" t="s">
        <v>103</v>
      </c>
      <c r="B58" s="6" t="s">
        <v>154</v>
      </c>
      <c r="C58" s="5">
        <v>6274</v>
      </c>
      <c r="D58" s="5">
        <v>6057</v>
      </c>
      <c r="E58" s="5">
        <v>5622</v>
      </c>
      <c r="F58" s="5">
        <v>5911</v>
      </c>
      <c r="G58" s="5">
        <v>6342</v>
      </c>
      <c r="H58" s="5">
        <v>6764</v>
      </c>
      <c r="I58" s="5">
        <v>5647</v>
      </c>
      <c r="J58" s="5">
        <v>6405</v>
      </c>
      <c r="K58" s="5">
        <v>6317</v>
      </c>
      <c r="L58" s="5">
        <v>6802</v>
      </c>
      <c r="M58" s="25">
        <f t="shared" si="3"/>
        <v>9.0184877930983287E-3</v>
      </c>
      <c r="O58">
        <f t="shared" si="1"/>
        <v>6274</v>
      </c>
      <c r="P58">
        <f t="shared" si="4"/>
        <v>6330.5819924138987</v>
      </c>
      <c r="Q58">
        <f t="shared" ref="Q58:X58" si="58">P58*(1+$M58)</f>
        <v>6387.6742688356917</v>
      </c>
      <c r="R58">
        <f t="shared" si="58"/>
        <v>6445.2814312554747</v>
      </c>
      <c r="S58">
        <f t="shared" si="58"/>
        <v>6503.4081231663358</v>
      </c>
      <c r="T58">
        <f t="shared" si="58"/>
        <v>6562.0590299386477</v>
      </c>
      <c r="U58">
        <f t="shared" si="58"/>
        <v>6621.2388791977401</v>
      </c>
      <c r="V58">
        <f t="shared" si="58"/>
        <v>6680.9524412049732</v>
      </c>
      <c r="W58">
        <f t="shared" si="58"/>
        <v>6741.2045292422508</v>
      </c>
      <c r="X58">
        <f t="shared" si="58"/>
        <v>6802.0000000000009</v>
      </c>
    </row>
    <row r="59" spans="1:24" ht="14.25" x14ac:dyDescent="0.2">
      <c r="A59" t="s">
        <v>105</v>
      </c>
      <c r="B59" s="6" t="s">
        <v>153</v>
      </c>
      <c r="C59" s="5">
        <v>2504</v>
      </c>
      <c r="D59" s="5">
        <v>2603</v>
      </c>
      <c r="E59" s="5">
        <v>2454</v>
      </c>
      <c r="F59" s="5">
        <v>2242</v>
      </c>
      <c r="G59" s="5">
        <v>2401</v>
      </c>
      <c r="H59" s="5">
        <v>2813</v>
      </c>
      <c r="I59" s="5">
        <v>3724</v>
      </c>
      <c r="J59" s="5">
        <v>3714</v>
      </c>
      <c r="K59" s="5">
        <v>2711</v>
      </c>
      <c r="L59" s="5">
        <v>2782</v>
      </c>
      <c r="M59" s="25">
        <f t="shared" si="3"/>
        <v>1.1766536323148946E-2</v>
      </c>
      <c r="O59">
        <f t="shared" si="1"/>
        <v>2504</v>
      </c>
      <c r="P59">
        <f t="shared" si="4"/>
        <v>2533.4634069531648</v>
      </c>
      <c r="Q59">
        <f t="shared" ref="Q59:X59" si="59">P59*(1+$M59)</f>
        <v>2563.2734961544479</v>
      </c>
      <c r="R59">
        <f t="shared" si="59"/>
        <v>2593.4343468531142</v>
      </c>
      <c r="S59">
        <f t="shared" si="59"/>
        <v>2623.9500862970635</v>
      </c>
      <c r="T59">
        <f t="shared" si="59"/>
        <v>2654.8248902976079</v>
      </c>
      <c r="U59">
        <f t="shared" si="59"/>
        <v>2686.0629838008945</v>
      </c>
      <c r="V59">
        <f t="shared" si="59"/>
        <v>2717.6686414660535</v>
      </c>
      <c r="W59">
        <f t="shared" si="59"/>
        <v>2749.6461882501467</v>
      </c>
      <c r="X59">
        <f t="shared" si="59"/>
        <v>2782</v>
      </c>
    </row>
    <row r="60" spans="1:24" x14ac:dyDescent="0.2">
      <c r="A60" t="s">
        <v>107</v>
      </c>
      <c r="B60" t="s">
        <v>104</v>
      </c>
      <c r="C60" s="5">
        <v>13392</v>
      </c>
      <c r="D60" s="5">
        <v>13924</v>
      </c>
      <c r="E60" s="5">
        <v>14131</v>
      </c>
      <c r="F60" s="5">
        <v>14491</v>
      </c>
      <c r="G60" s="5">
        <v>15064</v>
      </c>
      <c r="H60" s="5">
        <v>15061</v>
      </c>
      <c r="I60" s="5">
        <v>14163</v>
      </c>
      <c r="J60" s="5">
        <v>15919</v>
      </c>
      <c r="K60" s="5">
        <v>16161</v>
      </c>
      <c r="L60" s="5">
        <v>16212</v>
      </c>
      <c r="M60" s="25">
        <f t="shared" si="3"/>
        <v>2.1459705745433988E-2</v>
      </c>
      <c r="O60">
        <f t="shared" si="1"/>
        <v>13392</v>
      </c>
      <c r="P60">
        <f t="shared" si="4"/>
        <v>13679.388379342852</v>
      </c>
      <c r="Q60">
        <f t="shared" ref="Q60:X60" si="60">P60*(1+$M60)</f>
        <v>13972.94402874106</v>
      </c>
      <c r="R60">
        <f t="shared" si="60"/>
        <v>14272.799295995263</v>
      </c>
      <c r="S60">
        <f t="shared" si="60"/>
        <v>14579.089369050958</v>
      </c>
      <c r="T60">
        <f t="shared" si="60"/>
        <v>14891.952336947177</v>
      </c>
      <c r="U60">
        <f t="shared" si="60"/>
        <v>15211.529252073091</v>
      </c>
      <c r="V60">
        <f t="shared" si="60"/>
        <v>15537.964193760641</v>
      </c>
      <c r="W60">
        <f t="shared" si="60"/>
        <v>15871.404333241833</v>
      </c>
      <c r="X60">
        <f t="shared" si="60"/>
        <v>16212.000000000009</v>
      </c>
    </row>
    <row r="61" spans="1:24" x14ac:dyDescent="0.2">
      <c r="A61" t="s">
        <v>109</v>
      </c>
      <c r="B61" t="s">
        <v>106</v>
      </c>
      <c r="C61" s="5">
        <v>1444</v>
      </c>
      <c r="D61" s="5">
        <v>1233</v>
      </c>
      <c r="E61" s="5">
        <v>1382</v>
      </c>
      <c r="F61" s="5">
        <v>1376</v>
      </c>
      <c r="G61" s="5">
        <v>1462</v>
      </c>
      <c r="H61" s="5">
        <v>1444</v>
      </c>
      <c r="I61" s="5">
        <v>1588</v>
      </c>
      <c r="J61" s="5">
        <v>1299</v>
      </c>
      <c r="K61" s="5">
        <v>1185</v>
      </c>
      <c r="L61" s="5">
        <v>1368</v>
      </c>
      <c r="M61" s="25">
        <f t="shared" si="3"/>
        <v>-5.9894602683630005E-3</v>
      </c>
      <c r="O61">
        <f t="shared" si="1"/>
        <v>1444</v>
      </c>
      <c r="P61">
        <f t="shared" si="4"/>
        <v>1435.3512193724839</v>
      </c>
      <c r="Q61">
        <f t="shared" ref="Q61:X61" si="61">P61*(1+$M61)</f>
        <v>1426.7542402729061</v>
      </c>
      <c r="R61">
        <f t="shared" si="61"/>
        <v>1418.2087524380731</v>
      </c>
      <c r="S61">
        <f t="shared" si="61"/>
        <v>1409.7144474631007</v>
      </c>
      <c r="T61">
        <f t="shared" si="61"/>
        <v>1401.2710187902831</v>
      </c>
      <c r="U61">
        <f t="shared" si="61"/>
        <v>1392.87816169803</v>
      </c>
      <c r="V61">
        <f t="shared" si="61"/>
        <v>1384.5355732898693</v>
      </c>
      <c r="W61">
        <f t="shared" si="61"/>
        <v>1376.2429524835145</v>
      </c>
      <c r="X61">
        <f t="shared" si="61"/>
        <v>1368</v>
      </c>
    </row>
    <row r="62" spans="1:24" x14ac:dyDescent="0.2">
      <c r="A62" t="s">
        <v>111</v>
      </c>
      <c r="B62" t="s">
        <v>108</v>
      </c>
      <c r="C62" s="5">
        <v>121</v>
      </c>
      <c r="D62" s="5">
        <v>126</v>
      </c>
      <c r="E62" s="5">
        <v>126</v>
      </c>
      <c r="F62" s="5">
        <v>126</v>
      </c>
      <c r="G62" s="5">
        <v>123</v>
      </c>
      <c r="H62" s="5">
        <v>133</v>
      </c>
      <c r="I62" s="5">
        <v>125</v>
      </c>
      <c r="J62" s="5">
        <v>143</v>
      </c>
      <c r="K62" s="5">
        <v>137</v>
      </c>
      <c r="L62" s="5">
        <v>124</v>
      </c>
      <c r="M62" s="25">
        <f t="shared" si="3"/>
        <v>2.7249303373659828E-3</v>
      </c>
      <c r="O62">
        <f t="shared" si="1"/>
        <v>121</v>
      </c>
      <c r="P62">
        <f t="shared" si="4"/>
        <v>121.32971657082129</v>
      </c>
      <c r="Q62">
        <f t="shared" ref="Q62:X62" si="62">P62*(1+$M62)</f>
        <v>121.66033159632914</v>
      </c>
      <c r="R62">
        <f t="shared" si="62"/>
        <v>121.99184752474999</v>
      </c>
      <c r="S62">
        <f t="shared" si="62"/>
        <v>122.3242668109815</v>
      </c>
      <c r="T62">
        <f t="shared" si="62"/>
        <v>122.6575919166108</v>
      </c>
      <c r="U62">
        <f t="shared" si="62"/>
        <v>122.99182530993262</v>
      </c>
      <c r="V62">
        <f t="shared" si="62"/>
        <v>123.32696946596768</v>
      </c>
      <c r="W62">
        <f t="shared" si="62"/>
        <v>123.66302686648091</v>
      </c>
      <c r="X62">
        <f t="shared" si="62"/>
        <v>123.99999999999989</v>
      </c>
    </row>
    <row r="63" spans="1:24" x14ac:dyDescent="0.2">
      <c r="A63" t="s">
        <v>113</v>
      </c>
      <c r="B63" t="s">
        <v>110</v>
      </c>
      <c r="C63" s="5">
        <v>1695</v>
      </c>
      <c r="D63" s="5">
        <v>1735</v>
      </c>
      <c r="E63" s="5">
        <v>1775</v>
      </c>
      <c r="F63" s="5">
        <v>1938</v>
      </c>
      <c r="G63" s="5">
        <v>2083</v>
      </c>
      <c r="H63" s="5">
        <v>2027</v>
      </c>
      <c r="I63" s="5">
        <v>1263</v>
      </c>
      <c r="J63" s="5">
        <v>1975</v>
      </c>
      <c r="K63" s="5">
        <v>2197</v>
      </c>
      <c r="L63" s="5">
        <v>2209</v>
      </c>
      <c r="M63" s="25">
        <f t="shared" si="3"/>
        <v>2.9865875659515373E-2</v>
      </c>
      <c r="O63">
        <f t="shared" si="1"/>
        <v>1695</v>
      </c>
      <c r="P63">
        <f t="shared" si="4"/>
        <v>1745.6226592428786</v>
      </c>
      <c r="Q63">
        <f t="shared" ref="Q63:X63" si="63">P63*(1+$M63)</f>
        <v>1797.757208532259</v>
      </c>
      <c r="R63">
        <f t="shared" si="63"/>
        <v>1851.4488017882809</v>
      </c>
      <c r="S63">
        <f t="shared" si="63"/>
        <v>1906.7439414924484</v>
      </c>
      <c r="T63">
        <f t="shared" si="63"/>
        <v>1963.6905189635961</v>
      </c>
      <c r="U63">
        <f t="shared" si="63"/>
        <v>2022.3378558367322</v>
      </c>
      <c r="V63">
        <f t="shared" si="63"/>
        <v>2082.736746780683</v>
      </c>
      <c r="W63">
        <f t="shared" si="63"/>
        <v>2144.9395034915383</v>
      </c>
      <c r="X63">
        <f t="shared" si="63"/>
        <v>2208.9999999999991</v>
      </c>
    </row>
    <row r="64" spans="1:24" x14ac:dyDescent="0.2">
      <c r="A64" t="s">
        <v>114</v>
      </c>
      <c r="B64" t="s">
        <v>112</v>
      </c>
      <c r="C64" s="5">
        <v>801</v>
      </c>
      <c r="D64" s="5">
        <v>847</v>
      </c>
      <c r="E64" s="5">
        <v>826</v>
      </c>
      <c r="F64" s="5">
        <v>808</v>
      </c>
      <c r="G64" s="5">
        <v>787</v>
      </c>
      <c r="H64" s="5">
        <v>858</v>
      </c>
      <c r="I64" s="5">
        <v>1240</v>
      </c>
      <c r="J64" s="5">
        <v>1286</v>
      </c>
      <c r="K64" s="5">
        <v>1298</v>
      </c>
      <c r="L64" s="5">
        <v>1420</v>
      </c>
      <c r="M64" s="25">
        <f t="shared" si="3"/>
        <v>6.568395083562395E-2</v>
      </c>
      <c r="O64">
        <f t="shared" si="1"/>
        <v>801</v>
      </c>
      <c r="P64">
        <f t="shared" si="4"/>
        <v>853.61284461933474</v>
      </c>
      <c r="Q64">
        <f t="shared" ref="Q64:X64" si="64">P64*(1+$M64)</f>
        <v>909.68150873796822</v>
      </c>
      <c r="R64">
        <f t="shared" si="64"/>
        <v>969.43298423398915</v>
      </c>
      <c r="S64">
        <f t="shared" si="64"/>
        <v>1033.1091727088467</v>
      </c>
      <c r="T64">
        <f t="shared" si="64"/>
        <v>1100.9678648168867</v>
      </c>
      <c r="U64">
        <f t="shared" si="64"/>
        <v>1173.2837839211211</v>
      </c>
      <c r="V64">
        <f t="shared" si="64"/>
        <v>1250.3496983004309</v>
      </c>
      <c r="W64">
        <f t="shared" si="64"/>
        <v>1332.4776064109335</v>
      </c>
      <c r="X64">
        <f t="shared" si="64"/>
        <v>1419.9999999999991</v>
      </c>
    </row>
    <row r="65" spans="1:24" x14ac:dyDescent="0.2">
      <c r="A65" t="s">
        <v>116</v>
      </c>
      <c r="B65" s="6" t="s">
        <v>142</v>
      </c>
      <c r="C65" s="5">
        <v>3202</v>
      </c>
      <c r="D65" s="5">
        <v>3214</v>
      </c>
      <c r="E65" s="5">
        <v>3132</v>
      </c>
      <c r="F65" s="5">
        <v>2866</v>
      </c>
      <c r="G65" s="5">
        <v>3097</v>
      </c>
      <c r="H65" s="5">
        <v>3078</v>
      </c>
      <c r="I65" s="5">
        <v>3167</v>
      </c>
      <c r="J65" s="5">
        <v>3441</v>
      </c>
      <c r="K65" s="5">
        <v>3038</v>
      </c>
      <c r="L65" s="5">
        <v>2924</v>
      </c>
      <c r="M65" s="25">
        <f t="shared" si="3"/>
        <v>-1.0040704663776823E-2</v>
      </c>
      <c r="O65">
        <f t="shared" si="1"/>
        <v>3202</v>
      </c>
      <c r="P65">
        <f t="shared" si="4"/>
        <v>3169.8496636665868</v>
      </c>
      <c r="Q65">
        <f t="shared" ref="Q65:X65" si="65">P65*(1+$M65)</f>
        <v>3138.0221393651382</v>
      </c>
      <c r="R65">
        <f t="shared" si="65"/>
        <v>3106.5141858353795</v>
      </c>
      <c r="S65">
        <f t="shared" si="65"/>
        <v>3075.3225943615735</v>
      </c>
      <c r="T65">
        <f t="shared" si="65"/>
        <v>3044.4441884457488</v>
      </c>
      <c r="U65">
        <f t="shared" si="65"/>
        <v>3013.8758234842135</v>
      </c>
      <c r="V65">
        <f t="shared" si="65"/>
        <v>2983.6143864473115</v>
      </c>
      <c r="W65">
        <f t="shared" si="65"/>
        <v>2953.6567955623982</v>
      </c>
      <c r="X65">
        <f t="shared" si="65"/>
        <v>2923.9999999999986</v>
      </c>
    </row>
    <row r="66" spans="1:24" x14ac:dyDescent="0.2">
      <c r="A66" t="s">
        <v>118</v>
      </c>
      <c r="B66" t="s">
        <v>115</v>
      </c>
      <c r="C66" s="5">
        <v>121</v>
      </c>
      <c r="D66" s="5">
        <v>179</v>
      </c>
      <c r="E66" s="5">
        <v>139</v>
      </c>
      <c r="F66" s="5">
        <v>117</v>
      </c>
      <c r="G66" s="5">
        <v>103</v>
      </c>
      <c r="H66" s="5">
        <v>130</v>
      </c>
      <c r="I66" s="5">
        <v>119</v>
      </c>
      <c r="J66" s="5">
        <v>123</v>
      </c>
      <c r="K66" s="5">
        <v>131</v>
      </c>
      <c r="L66" s="5">
        <v>127</v>
      </c>
      <c r="M66" s="25">
        <f t="shared" si="3"/>
        <v>5.3918775597916468E-3</v>
      </c>
      <c r="O66">
        <f t="shared" si="1"/>
        <v>121</v>
      </c>
      <c r="P66">
        <f t="shared" si="4"/>
        <v>121.65241718473479</v>
      </c>
      <c r="Q66">
        <f t="shared" ref="Q66:X66" si="66">P66*(1+$M66)</f>
        <v>122.30835212304757</v>
      </c>
      <c r="R66">
        <f t="shared" si="66"/>
        <v>122.96782378223493</v>
      </c>
      <c r="S66">
        <f t="shared" si="66"/>
        <v>123.63085123186278</v>
      </c>
      <c r="T66">
        <f t="shared" si="66"/>
        <v>124.2974536443178</v>
      </c>
      <c r="U66">
        <f t="shared" si="66"/>
        <v>124.96765029536184</v>
      </c>
      <c r="V66">
        <f t="shared" si="66"/>
        <v>125.64146056468928</v>
      </c>
      <c r="W66">
        <f t="shared" si="66"/>
        <v>126.31890393648747</v>
      </c>
      <c r="X66">
        <f t="shared" si="66"/>
        <v>127.0000000000001</v>
      </c>
    </row>
    <row r="67" spans="1:24" x14ac:dyDescent="0.2">
      <c r="A67" t="s">
        <v>120</v>
      </c>
      <c r="B67" t="s">
        <v>117</v>
      </c>
      <c r="C67" s="5">
        <v>6047</v>
      </c>
      <c r="D67" s="5">
        <v>6594</v>
      </c>
      <c r="E67" s="5">
        <v>6755</v>
      </c>
      <c r="F67" s="5">
        <v>7261</v>
      </c>
      <c r="G67" s="5">
        <v>7406</v>
      </c>
      <c r="H67" s="5">
        <v>7389</v>
      </c>
      <c r="I67" s="5">
        <v>6707</v>
      </c>
      <c r="J67" s="5">
        <v>7635</v>
      </c>
      <c r="K67" s="5">
        <v>8174</v>
      </c>
      <c r="L67" s="5">
        <v>8034</v>
      </c>
      <c r="M67" s="25">
        <f t="shared" si="3"/>
        <v>3.2072500674033E-2</v>
      </c>
      <c r="O67">
        <f t="shared" si="1"/>
        <v>6047</v>
      </c>
      <c r="P67">
        <f t="shared" si="4"/>
        <v>6240.9424115758775</v>
      </c>
      <c r="Q67">
        <f t="shared" ref="Q67:X67" si="67">P67*(1+$M67)</f>
        <v>6441.1050412777458</v>
      </c>
      <c r="R67">
        <f t="shared" si="67"/>
        <v>6647.6873870556437</v>
      </c>
      <c r="S67">
        <f t="shared" si="67"/>
        <v>6860.8953452577462</v>
      </c>
      <c r="T67">
        <f t="shared" si="67"/>
        <v>7080.9414158429954</v>
      </c>
      <c r="U67">
        <f t="shared" si="67"/>
        <v>7308.0449141754079</v>
      </c>
      <c r="V67">
        <f t="shared" si="67"/>
        <v>7542.4321896111624</v>
      </c>
      <c r="W67">
        <f t="shared" si="67"/>
        <v>7784.3368510963146</v>
      </c>
      <c r="X67">
        <f t="shared" si="67"/>
        <v>8034.0000000000009</v>
      </c>
    </row>
    <row r="68" spans="1:24" x14ac:dyDescent="0.2">
      <c r="A68" t="s">
        <v>122</v>
      </c>
      <c r="B68" t="s">
        <v>119</v>
      </c>
      <c r="C68" s="5">
        <v>72827</v>
      </c>
      <c r="D68" s="5">
        <v>75343</v>
      </c>
      <c r="E68" s="5">
        <v>77226</v>
      </c>
      <c r="F68" s="5">
        <v>80289</v>
      </c>
      <c r="G68" s="5">
        <v>83342</v>
      </c>
      <c r="H68" s="5">
        <v>84122</v>
      </c>
      <c r="I68" s="5">
        <v>63295</v>
      </c>
      <c r="J68" s="5">
        <v>77984</v>
      </c>
      <c r="K68" s="5">
        <v>85986</v>
      </c>
      <c r="L68" s="5">
        <v>89667</v>
      </c>
      <c r="M68" s="25">
        <f t="shared" si="3"/>
        <v>2.3382066360978726E-2</v>
      </c>
      <c r="O68">
        <f t="shared" ref="O68:O76" si="68">C68</f>
        <v>72827</v>
      </c>
      <c r="P68">
        <f t="shared" si="4"/>
        <v>74529.845746870997</v>
      </c>
      <c r="Q68">
        <f t="shared" ref="Q68:X68" si="69">P68*(1+$M68)</f>
        <v>76272.50754599784</v>
      </c>
      <c r="R68">
        <f t="shared" si="69"/>
        <v>78055.916378956608</v>
      </c>
      <c r="S68">
        <f t="shared" si="69"/>
        <v>79881.024995596381</v>
      </c>
      <c r="T68">
        <f t="shared" si="69"/>
        <v>81748.808423026421</v>
      </c>
      <c r="U68">
        <f t="shared" si="69"/>
        <v>83660.264486504559</v>
      </c>
      <c r="V68">
        <f t="shared" si="69"/>
        <v>85616.414342505042</v>
      </c>
      <c r="W68">
        <f t="shared" si="69"/>
        <v>87618.303024250548</v>
      </c>
      <c r="X68">
        <f t="shared" si="69"/>
        <v>89666.999999999913</v>
      </c>
    </row>
    <row r="69" spans="1:24" x14ac:dyDescent="0.2">
      <c r="A69" t="s">
        <v>124</v>
      </c>
      <c r="B69" t="s">
        <v>121</v>
      </c>
      <c r="C69" s="5">
        <v>9808</v>
      </c>
      <c r="D69" s="5">
        <v>10145</v>
      </c>
      <c r="E69" s="5">
        <v>10408</v>
      </c>
      <c r="F69" s="5">
        <v>11278</v>
      </c>
      <c r="G69" s="5">
        <v>11280</v>
      </c>
      <c r="H69" s="5">
        <v>10743</v>
      </c>
      <c r="I69" s="5">
        <v>5105</v>
      </c>
      <c r="J69" s="5">
        <v>9494</v>
      </c>
      <c r="K69" s="5">
        <v>10020</v>
      </c>
      <c r="L69" s="5">
        <v>10071</v>
      </c>
      <c r="M69" s="25">
        <f t="shared" ref="M69:M76" si="70">(L69/C69)^(1/9)-1</f>
        <v>2.9445074011575922E-3</v>
      </c>
      <c r="O69">
        <f t="shared" si="68"/>
        <v>9808</v>
      </c>
      <c r="P69">
        <f t="shared" ref="P69:P76" si="71">C69*(1+M69)</f>
        <v>9836.879728590553</v>
      </c>
      <c r="Q69">
        <f t="shared" ref="Q69:X69" si="72">P69*(1+$M69)</f>
        <v>9865.8444937556851</v>
      </c>
      <c r="R69">
        <f t="shared" si="72"/>
        <v>9894.8945458862181</v>
      </c>
      <c r="S69">
        <f t="shared" si="72"/>
        <v>9924.0301361102538</v>
      </c>
      <c r="T69">
        <f t="shared" si="72"/>
        <v>9953.2515162953423</v>
      </c>
      <c r="U69">
        <f t="shared" si="72"/>
        <v>9982.5589390506575</v>
      </c>
      <c r="V69">
        <f t="shared" si="72"/>
        <v>10011.952657729184</v>
      </c>
      <c r="W69">
        <f t="shared" si="72"/>
        <v>10041.432926429907</v>
      </c>
      <c r="X69">
        <f t="shared" si="72"/>
        <v>10071.000000000007</v>
      </c>
    </row>
    <row r="70" spans="1:24" x14ac:dyDescent="0.2">
      <c r="A70" t="s">
        <v>126</v>
      </c>
      <c r="B70" t="s">
        <v>123</v>
      </c>
      <c r="C70" s="5">
        <v>51762</v>
      </c>
      <c r="D70" s="5">
        <v>53535</v>
      </c>
      <c r="E70" s="5">
        <v>53208</v>
      </c>
      <c r="F70" s="5">
        <v>54451</v>
      </c>
      <c r="G70" s="5">
        <v>55560</v>
      </c>
      <c r="H70" s="5">
        <v>56105</v>
      </c>
      <c r="I70" s="5">
        <v>51241</v>
      </c>
      <c r="J70" s="5">
        <v>56017</v>
      </c>
      <c r="K70" s="5">
        <v>60270</v>
      </c>
      <c r="L70" s="5">
        <v>62503</v>
      </c>
      <c r="M70" s="25">
        <f t="shared" si="70"/>
        <v>2.1171929731104377E-2</v>
      </c>
      <c r="O70">
        <f t="shared" si="68"/>
        <v>51762</v>
      </c>
      <c r="P70">
        <f t="shared" si="71"/>
        <v>52857.901426741424</v>
      </c>
      <c r="Q70">
        <f t="shared" ref="Q70:X70" si="73">P70*(1+$M70)</f>
        <v>53977.005201482032</v>
      </c>
      <c r="R70">
        <f t="shared" si="73"/>
        <v>55119.802562703262</v>
      </c>
      <c r="S70">
        <f t="shared" si="73"/>
        <v>56286.795149353165</v>
      </c>
      <c r="T70">
        <f t="shared" si="73"/>
        <v>57478.495221044337</v>
      </c>
      <c r="U70">
        <f t="shared" si="73"/>
        <v>58695.425882913907</v>
      </c>
      <c r="V70">
        <f t="shared" si="73"/>
        <v>59938.121315244207</v>
      </c>
      <c r="W70">
        <f t="shared" si="73"/>
        <v>61207.127007944968</v>
      </c>
      <c r="X70">
        <f t="shared" si="73"/>
        <v>62502.999999999956</v>
      </c>
    </row>
    <row r="71" spans="1:24" x14ac:dyDescent="0.2">
      <c r="A71" t="s">
        <v>128</v>
      </c>
      <c r="B71" t="s">
        <v>125</v>
      </c>
      <c r="C71" s="5">
        <v>1127</v>
      </c>
      <c r="D71" s="5">
        <v>1274</v>
      </c>
      <c r="E71" s="5">
        <v>1365</v>
      </c>
      <c r="F71" s="5">
        <v>1510</v>
      </c>
      <c r="G71" s="5">
        <v>1645</v>
      </c>
      <c r="H71" s="5">
        <v>1587</v>
      </c>
      <c r="I71" s="5">
        <v>644</v>
      </c>
      <c r="J71" s="5">
        <v>829</v>
      </c>
      <c r="K71" s="5">
        <v>1557</v>
      </c>
      <c r="L71" s="5">
        <v>1813</v>
      </c>
      <c r="M71" s="25">
        <f t="shared" si="70"/>
        <v>5.4244983411839476E-2</v>
      </c>
      <c r="O71">
        <f t="shared" si="68"/>
        <v>1127</v>
      </c>
      <c r="P71">
        <f t="shared" si="71"/>
        <v>1188.1340963051432</v>
      </c>
      <c r="Q71">
        <f t="shared" ref="Q71:X71" si="74">P71*(1+$M71)</f>
        <v>1252.5844106502566</v>
      </c>
      <c r="R71">
        <f t="shared" si="74"/>
        <v>1320.5308312279085</v>
      </c>
      <c r="S71">
        <f t="shared" si="74"/>
        <v>1392.1630042626889</v>
      </c>
      <c r="T71">
        <f t="shared" si="74"/>
        <v>1467.6808633354951</v>
      </c>
      <c r="U71">
        <f t="shared" si="74"/>
        <v>1547.2951874210032</v>
      </c>
      <c r="V71">
        <f t="shared" si="74"/>
        <v>1631.2281891958746</v>
      </c>
      <c r="W71">
        <f t="shared" si="74"/>
        <v>1719.7141352597298</v>
      </c>
      <c r="X71">
        <f t="shared" si="74"/>
        <v>1812.9999999999998</v>
      </c>
    </row>
    <row r="72" spans="1:24" x14ac:dyDescent="0.2">
      <c r="A72" t="s">
        <v>130</v>
      </c>
      <c r="B72" t="s">
        <v>127</v>
      </c>
      <c r="C72" s="5">
        <v>10217</v>
      </c>
      <c r="D72" s="5">
        <v>10480</v>
      </c>
      <c r="E72" s="5">
        <v>12249</v>
      </c>
      <c r="F72" s="5">
        <v>13049</v>
      </c>
      <c r="G72" s="5">
        <v>14875</v>
      </c>
      <c r="H72" s="5">
        <v>15723</v>
      </c>
      <c r="I72" s="5">
        <v>5952</v>
      </c>
      <c r="J72" s="5">
        <v>11297</v>
      </c>
      <c r="K72" s="5">
        <v>13889</v>
      </c>
      <c r="L72" s="5">
        <v>15067</v>
      </c>
      <c r="M72" s="25">
        <f t="shared" si="70"/>
        <v>4.4106553416830341E-2</v>
      </c>
      <c r="O72">
        <f t="shared" si="68"/>
        <v>10217</v>
      </c>
      <c r="P72">
        <f t="shared" si="71"/>
        <v>10667.636656259756</v>
      </c>
      <c r="Q72">
        <f t="shared" ref="Q72:X72" si="75">P72*(1+$M72)</f>
        <v>11138.149342270413</v>
      </c>
      <c r="R72">
        <f t="shared" si="75"/>
        <v>11629.414721199897</v>
      </c>
      <c r="S72">
        <f t="shared" si="75"/>
        <v>12142.348122806974</v>
      </c>
      <c r="T72">
        <f t="shared" si="75"/>
        <v>12677.905248891309</v>
      </c>
      <c r="U72">
        <f t="shared" si="75"/>
        <v>13237.083953965048</v>
      </c>
      <c r="V72">
        <f t="shared" si="75"/>
        <v>13820.926104463675</v>
      </c>
      <c r="W72">
        <f t="shared" si="75"/>
        <v>14430.519519960268</v>
      </c>
      <c r="X72">
        <f t="shared" si="75"/>
        <v>15067.000000000007</v>
      </c>
    </row>
    <row r="73" spans="1:24" x14ac:dyDescent="0.2">
      <c r="A73" t="s">
        <v>132</v>
      </c>
      <c r="B73" t="s">
        <v>129</v>
      </c>
      <c r="C73" s="5">
        <v>121607</v>
      </c>
      <c r="D73" s="5">
        <v>120880</v>
      </c>
      <c r="E73" s="5">
        <v>121063</v>
      </c>
      <c r="F73" s="5">
        <v>119062</v>
      </c>
      <c r="G73" s="5">
        <v>116253</v>
      </c>
      <c r="H73" s="5">
        <v>118328</v>
      </c>
      <c r="I73" s="5">
        <v>123466</v>
      </c>
      <c r="J73" s="5">
        <v>127233</v>
      </c>
      <c r="K73" s="5">
        <v>127863</v>
      </c>
      <c r="L73" s="5">
        <v>123784</v>
      </c>
      <c r="M73" s="25">
        <f t="shared" si="70"/>
        <v>1.9734533145259192E-3</v>
      </c>
      <c r="O73">
        <f t="shared" si="68"/>
        <v>121607</v>
      </c>
      <c r="P73">
        <f t="shared" si="71"/>
        <v>121846.98573721955</v>
      </c>
      <c r="Q73">
        <f t="shared" ref="Q73:X73" si="76">P73*(1+$M73)</f>
        <v>122087.44507508766</v>
      </c>
      <c r="R73">
        <f t="shared" si="76"/>
        <v>122328.37894823309</v>
      </c>
      <c r="S73">
        <f t="shared" si="76"/>
        <v>122569.78829312907</v>
      </c>
      <c r="T73">
        <f t="shared" si="76"/>
        <v>122811.67404809689</v>
      </c>
      <c r="U73">
        <f t="shared" si="76"/>
        <v>123054.03715330957</v>
      </c>
      <c r="V73">
        <f t="shared" si="76"/>
        <v>123296.87855079558</v>
      </c>
      <c r="W73">
        <f t="shared" si="76"/>
        <v>123540.19918444235</v>
      </c>
      <c r="X73">
        <f t="shared" si="76"/>
        <v>123784.00000000007</v>
      </c>
    </row>
    <row r="74" spans="1:24" x14ac:dyDescent="0.2">
      <c r="A74" t="s">
        <v>134</v>
      </c>
      <c r="B74" t="s">
        <v>131</v>
      </c>
      <c r="C74" s="5">
        <v>112823</v>
      </c>
      <c r="D74" s="5">
        <v>112343</v>
      </c>
      <c r="E74" s="5">
        <v>112433</v>
      </c>
      <c r="F74" s="5">
        <v>110267</v>
      </c>
      <c r="G74" s="5">
        <v>106839</v>
      </c>
      <c r="H74" s="5">
        <v>108812</v>
      </c>
      <c r="I74" s="5">
        <v>113507</v>
      </c>
      <c r="J74" s="5">
        <v>117302</v>
      </c>
      <c r="K74" s="5">
        <v>117755</v>
      </c>
      <c r="L74" s="5">
        <v>112997</v>
      </c>
      <c r="M74" s="25">
        <f t="shared" si="70"/>
        <v>1.7124251578137795E-4</v>
      </c>
      <c r="O74">
        <f t="shared" si="68"/>
        <v>112823</v>
      </c>
      <c r="P74">
        <f t="shared" si="71"/>
        <v>112842.320094358</v>
      </c>
      <c r="Q74">
        <f t="shared" ref="Q74:X74" si="77">P74*(1+$M74)</f>
        <v>112861.64349713757</v>
      </c>
      <c r="R74">
        <f t="shared" si="77"/>
        <v>112880.97020890524</v>
      </c>
      <c r="S74">
        <f t="shared" si="77"/>
        <v>112900.30023022766</v>
      </c>
      <c r="T74">
        <f t="shared" si="77"/>
        <v>112919.63356167155</v>
      </c>
      <c r="U74">
        <f t="shared" si="77"/>
        <v>112938.97020380376</v>
      </c>
      <c r="V74">
        <f t="shared" si="77"/>
        <v>112958.31015719123</v>
      </c>
      <c r="W74">
        <f t="shared" si="77"/>
        <v>112977.65342240095</v>
      </c>
      <c r="X74">
        <f t="shared" si="77"/>
        <v>112997.00000000009</v>
      </c>
    </row>
    <row r="75" spans="1:24" s="6" customFormat="1" x14ac:dyDescent="0.2">
      <c r="A75" t="s">
        <v>145</v>
      </c>
      <c r="B75" t="s">
        <v>133</v>
      </c>
      <c r="C75" s="5">
        <v>6478</v>
      </c>
      <c r="D75" s="5">
        <v>6221</v>
      </c>
      <c r="E75" s="5">
        <v>6315</v>
      </c>
      <c r="F75" s="5">
        <v>6689</v>
      </c>
      <c r="G75" s="5">
        <v>6808</v>
      </c>
      <c r="H75" s="5">
        <v>6831</v>
      </c>
      <c r="I75" s="5">
        <v>7246</v>
      </c>
      <c r="J75" s="5">
        <v>7265</v>
      </c>
      <c r="K75" s="5">
        <v>6924</v>
      </c>
      <c r="L75" s="5">
        <v>7385</v>
      </c>
      <c r="M75" s="25">
        <f t="shared" si="70"/>
        <v>1.4666411111877053E-2</v>
      </c>
      <c r="O75">
        <f t="shared" si="68"/>
        <v>6478</v>
      </c>
      <c r="P75">
        <f t="shared" si="71"/>
        <v>6573.0090111827394</v>
      </c>
      <c r="Q75">
        <f t="shared" ref="Q75:X75" si="78">P75*(1+$M75)</f>
        <v>6669.4114635828182</v>
      </c>
      <c r="R75">
        <f t="shared" si="78"/>
        <v>6767.2277939819896</v>
      </c>
      <c r="S75">
        <f t="shared" si="78"/>
        <v>6866.4787388962504</v>
      </c>
      <c r="T75">
        <f t="shared" si="78"/>
        <v>6967.1853389718663</v>
      </c>
      <c r="U75">
        <f t="shared" si="78"/>
        <v>7069.3689434458702</v>
      </c>
      <c r="V75">
        <f t="shared" si="78"/>
        <v>7173.051214671983</v>
      </c>
      <c r="W75">
        <f t="shared" si="78"/>
        <v>7278.2541327129111</v>
      </c>
      <c r="X75">
        <f t="shared" si="78"/>
        <v>7384.9999999999964</v>
      </c>
    </row>
    <row r="76" spans="1:24" s="6" customFormat="1" x14ac:dyDescent="0.2">
      <c r="A76" s="7" t="s">
        <v>146</v>
      </c>
      <c r="B76" s="7" t="s">
        <v>135</v>
      </c>
      <c r="C76" s="8">
        <v>2304</v>
      </c>
      <c r="D76" s="8">
        <v>2312</v>
      </c>
      <c r="E76" s="8">
        <v>2311</v>
      </c>
      <c r="F76" s="8">
        <v>2106</v>
      </c>
      <c r="G76" s="8">
        <v>2605</v>
      </c>
      <c r="H76" s="8">
        <v>2684</v>
      </c>
      <c r="I76" s="8">
        <v>2716</v>
      </c>
      <c r="J76" s="8">
        <v>2672</v>
      </c>
      <c r="K76" s="8">
        <v>3156</v>
      </c>
      <c r="L76" s="8">
        <v>3386</v>
      </c>
      <c r="M76" s="25">
        <f t="shared" si="70"/>
        <v>4.3706229084879755E-2</v>
      </c>
      <c r="O76">
        <f t="shared" si="68"/>
        <v>2304</v>
      </c>
      <c r="P76">
        <f t="shared" si="71"/>
        <v>2404.6991518115628</v>
      </c>
      <c r="Q76">
        <f t="shared" ref="Q76:X76" si="79">P76*(1+$M76)</f>
        <v>2509.7994838208551</v>
      </c>
      <c r="R76">
        <f t="shared" si="79"/>
        <v>2619.4933550178425</v>
      </c>
      <c r="S76">
        <f t="shared" si="79"/>
        <v>2733.9815316785725</v>
      </c>
      <c r="T76">
        <f t="shared" si="79"/>
        <v>2853.4735548159465</v>
      </c>
      <c r="U76">
        <f t="shared" si="79"/>
        <v>2978.1881236903782</v>
      </c>
      <c r="V76">
        <f t="shared" si="79"/>
        <v>3108.3534960822581</v>
      </c>
      <c r="W76">
        <f t="shared" si="79"/>
        <v>3244.2079060588162</v>
      </c>
      <c r="X76">
        <f t="shared" si="79"/>
        <v>3386.0000000000009</v>
      </c>
    </row>
    <row r="77" spans="1:24" ht="12.95" customHeight="1" x14ac:dyDescent="0.2">
      <c r="A77" s="20" t="s">
        <v>162</v>
      </c>
      <c r="B77" s="21"/>
      <c r="C77" s="21"/>
      <c r="D77" s="21"/>
      <c r="E77" s="21"/>
      <c r="F77" s="21"/>
      <c r="G77" s="21"/>
      <c r="H77" s="21"/>
      <c r="I77" s="21"/>
      <c r="J77" s="21"/>
      <c r="K77" s="21"/>
      <c r="L77" s="21"/>
    </row>
    <row r="78" spans="1:24" s="6" customFormat="1" ht="27.95" customHeight="1" x14ac:dyDescent="0.2">
      <c r="A78" s="17" t="s">
        <v>152</v>
      </c>
      <c r="B78" s="17"/>
      <c r="C78" s="17"/>
      <c r="D78" s="17"/>
      <c r="E78" s="17"/>
      <c r="F78" s="17"/>
      <c r="G78" s="17"/>
      <c r="H78" s="17"/>
      <c r="I78" s="17"/>
      <c r="J78" s="17"/>
      <c r="K78" s="17"/>
      <c r="L78" s="17"/>
    </row>
    <row r="79" spans="1:24" s="6" customFormat="1" ht="27.95" customHeight="1" x14ac:dyDescent="0.2">
      <c r="A79" s="17" t="s">
        <v>151</v>
      </c>
      <c r="B79" s="17"/>
      <c r="C79" s="17"/>
      <c r="D79" s="17"/>
      <c r="E79" s="17"/>
      <c r="F79" s="17"/>
      <c r="G79" s="17"/>
      <c r="H79" s="17"/>
      <c r="I79" s="17"/>
      <c r="J79" s="17"/>
      <c r="K79" s="17"/>
      <c r="L79" s="17"/>
    </row>
    <row r="80" spans="1:24" s="6" customFormat="1" ht="12.95" customHeight="1" x14ac:dyDescent="0.2">
      <c r="A80" s="17" t="s">
        <v>150</v>
      </c>
      <c r="B80" s="17"/>
      <c r="C80" s="17"/>
      <c r="D80" s="17"/>
      <c r="E80" s="17"/>
      <c r="F80" s="17"/>
      <c r="G80" s="17"/>
      <c r="H80" s="17"/>
      <c r="I80" s="17"/>
      <c r="J80" s="17"/>
      <c r="K80" s="17"/>
      <c r="L80" s="17"/>
    </row>
    <row r="81" spans="1:12" s="6" customFormat="1" ht="12.95" customHeight="1" x14ac:dyDescent="0.2">
      <c r="A81" s="17" t="s">
        <v>149</v>
      </c>
      <c r="B81" s="17"/>
      <c r="C81" s="17"/>
      <c r="D81" s="17"/>
      <c r="E81" s="17"/>
      <c r="F81" s="17"/>
      <c r="G81" s="17"/>
      <c r="H81" s="17"/>
      <c r="I81" s="17"/>
      <c r="J81" s="17"/>
      <c r="K81" s="17"/>
      <c r="L81" s="17"/>
    </row>
  </sheetData>
  <mergeCells count="7">
    <mergeCell ref="A80:L80"/>
    <mergeCell ref="A81:L81"/>
    <mergeCell ref="A1:L1"/>
    <mergeCell ref="A2:L2"/>
    <mergeCell ref="A77:L77"/>
    <mergeCell ref="A78:L78"/>
    <mergeCell ref="A79:L79"/>
  </mergeCells>
  <phoneticPr fontId="6" type="noConversion"/>
  <pageMargins left="0.75" right="0.75" top="1" bottom="1" header="0.5" footer="0.5"/>
  <pageSetup orientation="portrait" horizontalDpi="300" verticalDpi="300" r:id="rId1"/>
  <headerFooter alignWithMargins="0"/>
  <customProperties>
    <customPr name="SourceTable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219C0-4498-4AFF-8406-680130DFDCCC}">
  <dimension ref="A1:L81"/>
  <sheetViews>
    <sheetView workbookViewId="0">
      <pane ySplit="3" topLeftCell="A4" activePane="bottomLeft" state="frozen"/>
      <selection sqref="A1:L1"/>
      <selection pane="bottomLeft" sqref="A1:L1"/>
    </sheetView>
  </sheetViews>
  <sheetFormatPr defaultRowHeight="12.75" x14ac:dyDescent="0.2"/>
  <cols>
    <col min="2" max="2" width="70.7109375" customWidth="1"/>
    <col min="3" max="12" width="9.7109375" customWidth="1"/>
  </cols>
  <sheetData>
    <row r="1" spans="1:12" ht="18" x14ac:dyDescent="0.25">
      <c r="A1" s="18" t="s">
        <v>136</v>
      </c>
      <c r="B1" s="18"/>
      <c r="C1" s="18"/>
      <c r="D1" s="18"/>
      <c r="E1" s="18"/>
      <c r="F1" s="18"/>
      <c r="G1" s="18"/>
      <c r="H1" s="18"/>
      <c r="I1" s="18"/>
      <c r="J1" s="18"/>
      <c r="K1" s="18"/>
      <c r="L1" s="18"/>
    </row>
    <row r="2" spans="1:12" ht="16.5" customHeight="1" x14ac:dyDescent="0.25">
      <c r="A2" s="19" t="s">
        <v>137</v>
      </c>
      <c r="B2" s="19"/>
      <c r="C2" s="19"/>
      <c r="D2" s="19"/>
      <c r="E2" s="19"/>
      <c r="F2" s="19"/>
      <c r="G2" s="19"/>
      <c r="H2" s="19"/>
      <c r="I2" s="19"/>
      <c r="J2" s="19"/>
      <c r="K2" s="19"/>
      <c r="L2" s="19"/>
    </row>
    <row r="3" spans="1:12" x14ac:dyDescent="0.2">
      <c r="A3" s="10" t="s">
        <v>0</v>
      </c>
      <c r="B3" s="10" t="s">
        <v>0</v>
      </c>
      <c r="C3" s="10">
        <v>2014</v>
      </c>
      <c r="D3" s="10">
        <v>2015</v>
      </c>
      <c r="E3" s="10">
        <v>2016</v>
      </c>
      <c r="F3" s="10">
        <v>2017</v>
      </c>
      <c r="G3" s="10">
        <v>2018</v>
      </c>
      <c r="H3" s="10">
        <v>2019</v>
      </c>
      <c r="I3" s="10">
        <v>2020</v>
      </c>
      <c r="J3" s="10">
        <v>2021</v>
      </c>
      <c r="K3" s="10">
        <v>2022</v>
      </c>
      <c r="L3" s="10">
        <v>2023</v>
      </c>
    </row>
    <row r="4" spans="1:12" x14ac:dyDescent="0.2">
      <c r="A4" s="1" t="s">
        <v>1</v>
      </c>
      <c r="B4" s="1" t="s">
        <v>141</v>
      </c>
      <c r="C4" s="4">
        <v>364165</v>
      </c>
      <c r="D4" s="4">
        <v>351816</v>
      </c>
      <c r="E4" s="4">
        <v>349305</v>
      </c>
      <c r="F4" s="4">
        <v>362636</v>
      </c>
      <c r="G4" s="4">
        <v>377843</v>
      </c>
      <c r="H4" s="4">
        <v>389061</v>
      </c>
      <c r="I4" s="4">
        <v>356710</v>
      </c>
      <c r="J4" s="4">
        <v>423565</v>
      </c>
      <c r="K4" s="4">
        <v>482416</v>
      </c>
      <c r="L4" s="4">
        <v>510954</v>
      </c>
    </row>
    <row r="5" spans="1:12" x14ac:dyDescent="0.2">
      <c r="A5" t="s">
        <v>2</v>
      </c>
      <c r="B5" t="s">
        <v>3</v>
      </c>
      <c r="C5" s="5">
        <v>11664</v>
      </c>
      <c r="D5" s="5">
        <v>12697</v>
      </c>
      <c r="E5" s="5">
        <v>13707</v>
      </c>
      <c r="F5" s="5">
        <v>15357</v>
      </c>
      <c r="G5" s="5">
        <v>15688</v>
      </c>
      <c r="H5" s="5">
        <v>16776</v>
      </c>
      <c r="I5" s="5">
        <v>18081</v>
      </c>
      <c r="J5" s="5">
        <v>22251</v>
      </c>
      <c r="K5" s="5">
        <v>23640</v>
      </c>
      <c r="L5" s="5">
        <v>26340</v>
      </c>
    </row>
    <row r="6" spans="1:12" x14ac:dyDescent="0.2">
      <c r="A6" t="s">
        <v>4</v>
      </c>
      <c r="B6" t="s">
        <v>5</v>
      </c>
      <c r="C6" s="5">
        <v>11010</v>
      </c>
      <c r="D6" s="5">
        <v>11815</v>
      </c>
      <c r="E6" s="5">
        <v>12711</v>
      </c>
      <c r="F6" s="5">
        <v>14065</v>
      </c>
      <c r="G6" s="5">
        <v>14074</v>
      </c>
      <c r="H6" s="5">
        <v>14660</v>
      </c>
      <c r="I6" s="5">
        <v>14773</v>
      </c>
      <c r="J6" s="5">
        <v>17073</v>
      </c>
      <c r="K6" s="5">
        <v>17576</v>
      </c>
      <c r="L6" s="5">
        <v>18503</v>
      </c>
    </row>
    <row r="7" spans="1:12" x14ac:dyDescent="0.2">
      <c r="A7" t="s">
        <v>6</v>
      </c>
      <c r="B7" t="s">
        <v>7</v>
      </c>
      <c r="C7" s="5">
        <v>6837</v>
      </c>
      <c r="D7" s="5">
        <v>6918</v>
      </c>
      <c r="E7" s="5">
        <v>7882</v>
      </c>
      <c r="F7" s="5">
        <v>8607</v>
      </c>
      <c r="G7" s="5">
        <v>8620</v>
      </c>
      <c r="H7" s="5">
        <v>8863</v>
      </c>
      <c r="I7" s="5">
        <v>8387</v>
      </c>
      <c r="J7" s="5">
        <v>10525</v>
      </c>
      <c r="K7" s="5">
        <v>10567</v>
      </c>
      <c r="L7" s="5">
        <v>10770</v>
      </c>
    </row>
    <row r="8" spans="1:12" x14ac:dyDescent="0.2">
      <c r="A8" t="s">
        <v>8</v>
      </c>
      <c r="B8" t="s">
        <v>9</v>
      </c>
      <c r="C8" s="5">
        <v>4173</v>
      </c>
      <c r="D8" s="5">
        <v>4897</v>
      </c>
      <c r="E8" s="5">
        <v>4829</v>
      </c>
      <c r="F8" s="5">
        <v>5458</v>
      </c>
      <c r="G8" s="5">
        <v>5455</v>
      </c>
      <c r="H8" s="5">
        <v>5797</v>
      </c>
      <c r="I8" s="5">
        <v>6387</v>
      </c>
      <c r="J8" s="5">
        <v>6548</v>
      </c>
      <c r="K8" s="5">
        <v>7009</v>
      </c>
      <c r="L8" s="5">
        <v>7733</v>
      </c>
    </row>
    <row r="9" spans="1:12" x14ac:dyDescent="0.2">
      <c r="A9" t="s">
        <v>10</v>
      </c>
      <c r="B9" t="s">
        <v>11</v>
      </c>
      <c r="C9" s="5">
        <v>60</v>
      </c>
      <c r="D9" s="5">
        <v>62</v>
      </c>
      <c r="E9" s="5">
        <v>65</v>
      </c>
      <c r="F9" s="5">
        <v>47</v>
      </c>
      <c r="G9" s="5">
        <v>49</v>
      </c>
      <c r="H9" s="5">
        <v>46</v>
      </c>
      <c r="I9" s="5">
        <v>53</v>
      </c>
      <c r="J9" s="5">
        <v>44</v>
      </c>
      <c r="K9" s="5">
        <v>46</v>
      </c>
      <c r="L9" s="5">
        <v>66</v>
      </c>
    </row>
    <row r="10" spans="1:12" x14ac:dyDescent="0.2">
      <c r="A10" t="s">
        <v>12</v>
      </c>
      <c r="B10" t="s">
        <v>13</v>
      </c>
      <c r="C10" s="5">
        <v>595</v>
      </c>
      <c r="D10" s="5">
        <v>821</v>
      </c>
      <c r="E10" s="5">
        <v>931</v>
      </c>
      <c r="F10" s="5">
        <v>1245</v>
      </c>
      <c r="G10" s="5">
        <v>1565</v>
      </c>
      <c r="H10" s="5">
        <v>2071</v>
      </c>
      <c r="I10" s="5">
        <v>3255</v>
      </c>
      <c r="J10" s="5">
        <v>5134</v>
      </c>
      <c r="K10" s="5">
        <v>6018</v>
      </c>
      <c r="L10" s="5">
        <v>7771</v>
      </c>
    </row>
    <row r="11" spans="1:12" x14ac:dyDescent="0.2">
      <c r="A11" t="s">
        <v>14</v>
      </c>
      <c r="B11" t="s">
        <v>15</v>
      </c>
      <c r="C11" s="5">
        <v>3312</v>
      </c>
      <c r="D11" s="5">
        <v>3634</v>
      </c>
      <c r="E11" s="5">
        <v>4399</v>
      </c>
      <c r="F11" s="5">
        <v>4694</v>
      </c>
      <c r="G11" s="5">
        <v>4532</v>
      </c>
      <c r="H11" s="5">
        <v>5755</v>
      </c>
      <c r="I11" s="5">
        <v>5708</v>
      </c>
      <c r="J11" s="5">
        <v>5116</v>
      </c>
      <c r="K11" s="5">
        <v>5829</v>
      </c>
      <c r="L11" s="5">
        <v>6823</v>
      </c>
    </row>
    <row r="12" spans="1:12" x14ac:dyDescent="0.2">
      <c r="A12" t="s">
        <v>16</v>
      </c>
      <c r="B12" t="s">
        <v>17</v>
      </c>
      <c r="C12" s="5">
        <v>2047</v>
      </c>
      <c r="D12" s="5">
        <v>2352</v>
      </c>
      <c r="E12" s="5">
        <v>3083</v>
      </c>
      <c r="F12" s="5">
        <v>3477</v>
      </c>
      <c r="G12" s="5">
        <v>3098</v>
      </c>
      <c r="H12" s="5">
        <v>3430</v>
      </c>
      <c r="I12" s="5">
        <v>3539</v>
      </c>
      <c r="J12" s="5">
        <v>2962</v>
      </c>
      <c r="K12" s="5">
        <v>3470</v>
      </c>
      <c r="L12" s="5">
        <v>4438</v>
      </c>
    </row>
    <row r="13" spans="1:12" x14ac:dyDescent="0.2">
      <c r="A13" t="s">
        <v>18</v>
      </c>
      <c r="B13" t="s">
        <v>19</v>
      </c>
      <c r="C13" s="5">
        <v>161</v>
      </c>
      <c r="D13" s="5">
        <v>178</v>
      </c>
      <c r="E13" s="5">
        <v>242</v>
      </c>
      <c r="F13" s="5">
        <v>217</v>
      </c>
      <c r="G13" s="5">
        <v>266</v>
      </c>
      <c r="H13" s="5">
        <v>672</v>
      </c>
      <c r="I13" s="5">
        <v>623</v>
      </c>
      <c r="J13" s="5">
        <v>638</v>
      </c>
      <c r="K13" s="5">
        <v>613</v>
      </c>
      <c r="L13" s="5">
        <v>518</v>
      </c>
    </row>
    <row r="14" spans="1:12" x14ac:dyDescent="0.2">
      <c r="A14" t="s">
        <v>20</v>
      </c>
      <c r="B14" t="s">
        <v>21</v>
      </c>
      <c r="C14" s="5">
        <v>1024</v>
      </c>
      <c r="D14" s="5">
        <v>1014</v>
      </c>
      <c r="E14" s="5">
        <v>979</v>
      </c>
      <c r="F14" s="5">
        <v>882</v>
      </c>
      <c r="G14" s="5">
        <v>1050</v>
      </c>
      <c r="H14" s="5">
        <v>1538</v>
      </c>
      <c r="I14" s="5">
        <v>1409</v>
      </c>
      <c r="J14" s="5">
        <v>1397</v>
      </c>
      <c r="K14" s="5">
        <v>1611</v>
      </c>
      <c r="L14" s="5">
        <v>1713</v>
      </c>
    </row>
    <row r="15" spans="1:12" x14ac:dyDescent="0.2">
      <c r="A15" t="s">
        <v>22</v>
      </c>
      <c r="B15" t="s">
        <v>144</v>
      </c>
      <c r="C15" s="5">
        <v>81</v>
      </c>
      <c r="D15" s="5">
        <v>90</v>
      </c>
      <c r="E15" s="5">
        <v>95</v>
      </c>
      <c r="F15" s="5">
        <v>118</v>
      </c>
      <c r="G15" s="5">
        <v>117</v>
      </c>
      <c r="H15" s="5">
        <v>114</v>
      </c>
      <c r="I15" s="5">
        <v>137</v>
      </c>
      <c r="J15" s="5">
        <v>120</v>
      </c>
      <c r="K15" s="5">
        <v>134</v>
      </c>
      <c r="L15" s="5">
        <v>154</v>
      </c>
    </row>
    <row r="16" spans="1:12" x14ac:dyDescent="0.2">
      <c r="A16" t="s">
        <v>24</v>
      </c>
      <c r="B16" t="s">
        <v>23</v>
      </c>
      <c r="C16" s="5">
        <v>5704</v>
      </c>
      <c r="D16" s="5">
        <v>6030</v>
      </c>
      <c r="E16" s="5">
        <v>6071</v>
      </c>
      <c r="F16" s="5">
        <v>6173</v>
      </c>
      <c r="G16" s="5">
        <v>6406</v>
      </c>
      <c r="H16" s="5">
        <v>6825</v>
      </c>
      <c r="I16" s="5">
        <v>7756</v>
      </c>
      <c r="J16" s="5">
        <v>8573</v>
      </c>
      <c r="K16" s="5">
        <v>9185</v>
      </c>
      <c r="L16" s="5">
        <v>10319</v>
      </c>
    </row>
    <row r="17" spans="1:12" x14ac:dyDescent="0.2">
      <c r="A17" t="s">
        <v>26</v>
      </c>
      <c r="B17" t="s">
        <v>25</v>
      </c>
      <c r="C17" s="5">
        <v>3285</v>
      </c>
      <c r="D17" s="5">
        <v>3425</v>
      </c>
      <c r="E17" s="5">
        <v>3499</v>
      </c>
      <c r="F17" s="5">
        <v>3558</v>
      </c>
      <c r="G17" s="5">
        <v>3871</v>
      </c>
      <c r="H17" s="5">
        <v>4164</v>
      </c>
      <c r="I17" s="5">
        <v>5146</v>
      </c>
      <c r="J17" s="5">
        <v>6120</v>
      </c>
      <c r="K17" s="5">
        <v>6408</v>
      </c>
      <c r="L17" s="5">
        <v>7172</v>
      </c>
    </row>
    <row r="18" spans="1:12" x14ac:dyDescent="0.2">
      <c r="A18" t="s">
        <v>27</v>
      </c>
      <c r="B18" s="6" t="s">
        <v>140</v>
      </c>
      <c r="C18" s="5">
        <v>105</v>
      </c>
      <c r="D18" s="5">
        <v>106</v>
      </c>
      <c r="E18" s="5">
        <v>99</v>
      </c>
      <c r="F18" s="5">
        <v>103</v>
      </c>
      <c r="G18" s="5">
        <v>140</v>
      </c>
      <c r="H18" s="5">
        <v>146</v>
      </c>
      <c r="I18" s="5">
        <v>158</v>
      </c>
      <c r="J18" s="5">
        <v>173</v>
      </c>
      <c r="K18" s="5">
        <v>194</v>
      </c>
      <c r="L18" s="5">
        <v>217</v>
      </c>
    </row>
    <row r="19" spans="1:12" x14ac:dyDescent="0.2">
      <c r="A19" t="s">
        <v>29</v>
      </c>
      <c r="B19" t="s">
        <v>28</v>
      </c>
      <c r="C19" s="5">
        <v>1024</v>
      </c>
      <c r="D19" s="5">
        <v>1117</v>
      </c>
      <c r="E19" s="5">
        <v>1188</v>
      </c>
      <c r="F19" s="5">
        <v>1216</v>
      </c>
      <c r="G19" s="5">
        <v>1277</v>
      </c>
      <c r="H19" s="5">
        <v>1432</v>
      </c>
      <c r="I19" s="5">
        <v>2010</v>
      </c>
      <c r="J19" s="5">
        <v>2880</v>
      </c>
      <c r="K19" s="5">
        <v>3024</v>
      </c>
      <c r="L19" s="5">
        <v>3475</v>
      </c>
    </row>
    <row r="20" spans="1:12" x14ac:dyDescent="0.2">
      <c r="A20" t="s">
        <v>31</v>
      </c>
      <c r="B20" t="s">
        <v>30</v>
      </c>
      <c r="C20" s="5">
        <v>1291</v>
      </c>
      <c r="D20" s="5">
        <v>1362</v>
      </c>
      <c r="E20" s="5">
        <v>1362</v>
      </c>
      <c r="F20" s="5">
        <v>1409</v>
      </c>
      <c r="G20" s="5">
        <v>1444</v>
      </c>
      <c r="H20" s="5">
        <v>1512</v>
      </c>
      <c r="I20" s="5">
        <v>1639</v>
      </c>
      <c r="J20" s="5">
        <v>1768</v>
      </c>
      <c r="K20" s="5">
        <v>1798</v>
      </c>
      <c r="L20" s="5">
        <v>1926</v>
      </c>
    </row>
    <row r="21" spans="1:12" x14ac:dyDescent="0.2">
      <c r="A21" t="s">
        <v>33</v>
      </c>
      <c r="B21" t="s">
        <v>32</v>
      </c>
      <c r="C21" s="5">
        <v>866</v>
      </c>
      <c r="D21" s="5">
        <v>840</v>
      </c>
      <c r="E21" s="5">
        <v>850</v>
      </c>
      <c r="F21" s="5">
        <v>830</v>
      </c>
      <c r="G21" s="5">
        <v>1010</v>
      </c>
      <c r="H21" s="5">
        <v>1074</v>
      </c>
      <c r="I21" s="5">
        <v>1339</v>
      </c>
      <c r="J21" s="5">
        <v>1300</v>
      </c>
      <c r="K21" s="5">
        <v>1392</v>
      </c>
      <c r="L21" s="5">
        <v>1554</v>
      </c>
    </row>
    <row r="22" spans="1:12" x14ac:dyDescent="0.2">
      <c r="A22" t="s">
        <v>35</v>
      </c>
      <c r="B22" t="s">
        <v>34</v>
      </c>
      <c r="C22" s="5">
        <v>2240</v>
      </c>
      <c r="D22" s="5">
        <v>2412</v>
      </c>
      <c r="E22" s="5">
        <v>2369</v>
      </c>
      <c r="F22" s="5">
        <v>2416</v>
      </c>
      <c r="G22" s="5">
        <v>2337</v>
      </c>
      <c r="H22" s="5">
        <v>2534</v>
      </c>
      <c r="I22" s="5">
        <v>2499</v>
      </c>
      <c r="J22" s="5">
        <v>2348</v>
      </c>
      <c r="K22" s="5">
        <v>2663</v>
      </c>
      <c r="L22" s="5">
        <v>3026</v>
      </c>
    </row>
    <row r="23" spans="1:12" x14ac:dyDescent="0.2">
      <c r="A23" t="s">
        <v>37</v>
      </c>
      <c r="B23" t="s">
        <v>36</v>
      </c>
      <c r="C23" s="5">
        <v>136</v>
      </c>
      <c r="D23" s="5">
        <v>144</v>
      </c>
      <c r="E23" s="5">
        <v>152</v>
      </c>
      <c r="F23" s="5">
        <v>146</v>
      </c>
      <c r="G23" s="5">
        <v>151</v>
      </c>
      <c r="H23" s="5">
        <v>77</v>
      </c>
      <c r="I23" s="5">
        <v>65</v>
      </c>
      <c r="J23" s="5">
        <v>62</v>
      </c>
      <c r="K23" s="5">
        <v>69</v>
      </c>
      <c r="L23" s="5">
        <v>73</v>
      </c>
    </row>
    <row r="24" spans="1:12" x14ac:dyDescent="0.2">
      <c r="A24" t="s">
        <v>39</v>
      </c>
      <c r="B24" t="s">
        <v>38</v>
      </c>
      <c r="C24" s="5">
        <v>43</v>
      </c>
      <c r="D24" s="5">
        <v>49</v>
      </c>
      <c r="E24" s="5">
        <v>51</v>
      </c>
      <c r="F24" s="5">
        <v>53</v>
      </c>
      <c r="G24" s="5">
        <v>48</v>
      </c>
      <c r="H24" s="5">
        <v>50</v>
      </c>
      <c r="I24" s="5">
        <v>46</v>
      </c>
      <c r="J24" s="5">
        <v>44</v>
      </c>
      <c r="K24" s="5">
        <v>45</v>
      </c>
      <c r="L24" s="5">
        <v>48</v>
      </c>
    </row>
    <row r="25" spans="1:12" x14ac:dyDescent="0.2">
      <c r="A25" t="s">
        <v>41</v>
      </c>
      <c r="B25" t="s">
        <v>40</v>
      </c>
      <c r="C25" s="5">
        <v>24913</v>
      </c>
      <c r="D25" s="5">
        <v>25837</v>
      </c>
      <c r="E25" s="5">
        <v>24716</v>
      </c>
      <c r="F25" s="5">
        <v>25537</v>
      </c>
      <c r="G25" s="5">
        <v>28067</v>
      </c>
      <c r="H25" s="5">
        <v>27543</v>
      </c>
      <c r="I25" s="5">
        <v>23238</v>
      </c>
      <c r="J25" s="5">
        <v>29942</v>
      </c>
      <c r="K25" s="5">
        <v>37529</v>
      </c>
      <c r="L25" s="5">
        <v>39882</v>
      </c>
    </row>
    <row r="26" spans="1:12" x14ac:dyDescent="0.2">
      <c r="A26" t="s">
        <v>43</v>
      </c>
      <c r="B26" t="s">
        <v>42</v>
      </c>
      <c r="C26" s="5">
        <v>16966</v>
      </c>
      <c r="D26" s="5">
        <v>17428</v>
      </c>
      <c r="E26" s="5">
        <v>16485</v>
      </c>
      <c r="F26" s="5">
        <v>17022</v>
      </c>
      <c r="G26" s="5">
        <v>18457</v>
      </c>
      <c r="H26" s="5">
        <v>17789</v>
      </c>
      <c r="I26" s="5">
        <v>17492</v>
      </c>
      <c r="J26" s="5">
        <v>23830</v>
      </c>
      <c r="K26" s="5">
        <v>25491</v>
      </c>
      <c r="L26" s="5">
        <v>25906</v>
      </c>
    </row>
    <row r="27" spans="1:12" x14ac:dyDescent="0.2">
      <c r="A27" t="s">
        <v>45</v>
      </c>
      <c r="B27" t="s">
        <v>44</v>
      </c>
      <c r="C27" s="5">
        <v>6508</v>
      </c>
      <c r="D27" s="5">
        <v>6910</v>
      </c>
      <c r="E27" s="5">
        <v>6479</v>
      </c>
      <c r="F27" s="5">
        <v>6491</v>
      </c>
      <c r="G27" s="5">
        <v>7457</v>
      </c>
      <c r="H27" s="5">
        <v>7566</v>
      </c>
      <c r="I27" s="5">
        <v>3570</v>
      </c>
      <c r="J27" s="5">
        <v>3246</v>
      </c>
      <c r="K27" s="5">
        <v>8594</v>
      </c>
      <c r="L27" s="5">
        <v>10415</v>
      </c>
    </row>
    <row r="28" spans="1:12" x14ac:dyDescent="0.2">
      <c r="A28" t="s">
        <v>47</v>
      </c>
      <c r="B28" t="s">
        <v>46</v>
      </c>
      <c r="C28" s="5">
        <v>1438</v>
      </c>
      <c r="D28" s="5">
        <v>1498</v>
      </c>
      <c r="E28" s="5">
        <v>1753</v>
      </c>
      <c r="F28" s="5">
        <v>2023</v>
      </c>
      <c r="G28" s="5">
        <v>2153</v>
      </c>
      <c r="H28" s="5">
        <v>2189</v>
      </c>
      <c r="I28" s="5">
        <v>2177</v>
      </c>
      <c r="J28" s="5">
        <v>2866</v>
      </c>
      <c r="K28" s="5">
        <v>3444</v>
      </c>
      <c r="L28" s="5">
        <v>3561</v>
      </c>
    </row>
    <row r="29" spans="1:12" x14ac:dyDescent="0.2">
      <c r="A29" t="s">
        <v>49</v>
      </c>
      <c r="B29" t="s">
        <v>48</v>
      </c>
      <c r="C29" s="5">
        <v>3665</v>
      </c>
      <c r="D29" s="5">
        <v>4119</v>
      </c>
      <c r="E29" s="5">
        <v>5268</v>
      </c>
      <c r="F29" s="5">
        <v>4941</v>
      </c>
      <c r="G29" s="5">
        <v>4982</v>
      </c>
      <c r="H29" s="5">
        <v>4967</v>
      </c>
      <c r="I29" s="5">
        <v>5015</v>
      </c>
      <c r="J29" s="5">
        <v>4760</v>
      </c>
      <c r="K29" s="5">
        <v>5425</v>
      </c>
      <c r="L29" s="5">
        <v>6054</v>
      </c>
    </row>
    <row r="30" spans="1:12" x14ac:dyDescent="0.2">
      <c r="A30" t="s">
        <v>51</v>
      </c>
      <c r="B30" t="s">
        <v>50</v>
      </c>
      <c r="C30" s="5">
        <v>75028</v>
      </c>
      <c r="D30" s="5">
        <v>49866</v>
      </c>
      <c r="E30" s="5">
        <v>40763</v>
      </c>
      <c r="F30" s="5">
        <v>44571</v>
      </c>
      <c r="G30" s="5">
        <v>47493</v>
      </c>
      <c r="H30" s="5">
        <v>46032</v>
      </c>
      <c r="I30" s="5">
        <v>32303</v>
      </c>
      <c r="J30" s="5">
        <v>48681</v>
      </c>
      <c r="K30" s="5">
        <v>63805</v>
      </c>
      <c r="L30" s="5">
        <v>62964</v>
      </c>
    </row>
    <row r="31" spans="1:12" x14ac:dyDescent="0.2">
      <c r="A31" t="s">
        <v>53</v>
      </c>
      <c r="B31" t="s">
        <v>52</v>
      </c>
      <c r="C31" s="5">
        <v>73217</v>
      </c>
      <c r="D31" s="5">
        <v>48153</v>
      </c>
      <c r="E31" s="5">
        <v>39055</v>
      </c>
      <c r="F31" s="5">
        <v>42420</v>
      </c>
      <c r="G31" s="5">
        <v>45303</v>
      </c>
      <c r="H31" s="5">
        <v>43995</v>
      </c>
      <c r="I31" s="5">
        <v>30358</v>
      </c>
      <c r="J31" s="5">
        <v>46419</v>
      </c>
      <c r="K31" s="5">
        <v>61210</v>
      </c>
      <c r="L31" s="5">
        <v>60061</v>
      </c>
    </row>
    <row r="32" spans="1:12" x14ac:dyDescent="0.2">
      <c r="A32" t="s">
        <v>55</v>
      </c>
      <c r="B32" t="s">
        <v>54</v>
      </c>
      <c r="C32" s="5">
        <v>1359</v>
      </c>
      <c r="D32" s="5">
        <v>1236</v>
      </c>
      <c r="E32" s="5">
        <v>1255</v>
      </c>
      <c r="F32" s="5">
        <v>1674</v>
      </c>
      <c r="G32" s="5">
        <v>1707</v>
      </c>
      <c r="H32" s="5">
        <v>1554</v>
      </c>
      <c r="I32" s="5">
        <v>1519</v>
      </c>
      <c r="J32" s="5">
        <v>1802</v>
      </c>
      <c r="K32" s="5">
        <v>2133</v>
      </c>
      <c r="L32" s="5">
        <v>2437</v>
      </c>
    </row>
    <row r="33" spans="1:12" x14ac:dyDescent="0.2">
      <c r="A33" t="s">
        <v>57</v>
      </c>
      <c r="B33" t="s">
        <v>56</v>
      </c>
      <c r="C33" s="5">
        <v>452</v>
      </c>
      <c r="D33" s="5">
        <v>477</v>
      </c>
      <c r="E33" s="5">
        <v>453</v>
      </c>
      <c r="F33" s="5">
        <v>477</v>
      </c>
      <c r="G33" s="5">
        <v>483</v>
      </c>
      <c r="H33" s="5">
        <v>484</v>
      </c>
      <c r="I33" s="5">
        <v>426</v>
      </c>
      <c r="J33" s="5">
        <v>460</v>
      </c>
      <c r="K33" s="5">
        <v>462</v>
      </c>
      <c r="L33" s="5">
        <v>466</v>
      </c>
    </row>
    <row r="34" spans="1:12" x14ac:dyDescent="0.2">
      <c r="A34" t="s">
        <v>59</v>
      </c>
      <c r="B34" t="s">
        <v>58</v>
      </c>
      <c r="C34" s="5">
        <v>8895</v>
      </c>
      <c r="D34" s="5">
        <v>9631</v>
      </c>
      <c r="E34" s="5">
        <v>9756</v>
      </c>
      <c r="F34" s="5">
        <v>9964</v>
      </c>
      <c r="G34" s="5">
        <v>10251</v>
      </c>
      <c r="H34" s="5">
        <v>10232</v>
      </c>
      <c r="I34" s="5">
        <v>10117</v>
      </c>
      <c r="J34" s="5">
        <v>13096</v>
      </c>
      <c r="K34" s="5">
        <v>13124</v>
      </c>
      <c r="L34" s="5">
        <v>11900</v>
      </c>
    </row>
    <row r="35" spans="1:12" x14ac:dyDescent="0.2">
      <c r="A35" t="s">
        <v>61</v>
      </c>
      <c r="B35" t="s">
        <v>60</v>
      </c>
      <c r="C35" s="5">
        <v>8895</v>
      </c>
      <c r="D35" s="5">
        <v>9631</v>
      </c>
      <c r="E35" s="5">
        <v>9755</v>
      </c>
      <c r="F35" s="5">
        <v>9961</v>
      </c>
      <c r="G35" s="5">
        <v>10248</v>
      </c>
      <c r="H35" s="5">
        <v>10229</v>
      </c>
      <c r="I35" s="5">
        <v>10114</v>
      </c>
      <c r="J35" s="5">
        <v>13091</v>
      </c>
      <c r="K35" s="5">
        <v>13118</v>
      </c>
      <c r="L35" s="5">
        <v>11896</v>
      </c>
    </row>
    <row r="36" spans="1:12" ht="14.25" x14ac:dyDescent="0.2">
      <c r="A36" t="s">
        <v>63</v>
      </c>
      <c r="B36" s="6" t="s">
        <v>157</v>
      </c>
      <c r="C36" s="16" t="s">
        <v>163</v>
      </c>
      <c r="D36" s="16" t="s">
        <v>163</v>
      </c>
      <c r="E36" s="5">
        <v>0</v>
      </c>
      <c r="F36" s="5">
        <v>3</v>
      </c>
      <c r="G36" s="5">
        <v>3</v>
      </c>
      <c r="H36" s="5">
        <v>3</v>
      </c>
      <c r="I36" s="5">
        <v>3</v>
      </c>
      <c r="J36" s="5">
        <v>4</v>
      </c>
      <c r="K36" s="5">
        <v>6</v>
      </c>
      <c r="L36" s="5">
        <v>4</v>
      </c>
    </row>
    <row r="37" spans="1:12" x14ac:dyDescent="0.2">
      <c r="A37" t="s">
        <v>64</v>
      </c>
      <c r="B37" t="s">
        <v>62</v>
      </c>
      <c r="C37" s="5">
        <v>6639</v>
      </c>
      <c r="D37" s="5">
        <v>8401</v>
      </c>
      <c r="E37" s="5">
        <v>8162</v>
      </c>
      <c r="F37" s="5">
        <v>8231</v>
      </c>
      <c r="G37" s="5">
        <v>8532</v>
      </c>
      <c r="H37" s="5">
        <v>9303</v>
      </c>
      <c r="I37" s="5">
        <v>10053</v>
      </c>
      <c r="J37" s="5">
        <v>11479</v>
      </c>
      <c r="K37" s="5">
        <v>12178</v>
      </c>
      <c r="L37" s="5">
        <v>12015</v>
      </c>
    </row>
    <row r="38" spans="1:12" ht="14.25" x14ac:dyDescent="0.2">
      <c r="A38" t="s">
        <v>66</v>
      </c>
      <c r="B38" s="6" t="s">
        <v>156</v>
      </c>
      <c r="C38" s="5">
        <v>5440</v>
      </c>
      <c r="D38" s="5">
        <v>7052</v>
      </c>
      <c r="E38" s="5">
        <v>6938</v>
      </c>
      <c r="F38" s="5">
        <v>7065</v>
      </c>
      <c r="G38" s="5">
        <v>7403</v>
      </c>
      <c r="H38" s="5">
        <v>8214</v>
      </c>
      <c r="I38" s="5">
        <v>9229</v>
      </c>
      <c r="J38" s="5">
        <v>10340</v>
      </c>
      <c r="K38" s="5">
        <v>10771</v>
      </c>
      <c r="L38" s="5">
        <v>10702</v>
      </c>
    </row>
    <row r="39" spans="1:12" x14ac:dyDescent="0.2">
      <c r="A39" t="s">
        <v>68</v>
      </c>
      <c r="B39" t="s">
        <v>65</v>
      </c>
      <c r="C39" s="5">
        <v>120</v>
      </c>
      <c r="D39" s="5">
        <v>96</v>
      </c>
      <c r="E39" s="5">
        <v>105</v>
      </c>
      <c r="F39" s="5">
        <v>76</v>
      </c>
      <c r="G39" s="5">
        <v>56</v>
      </c>
      <c r="H39" s="5">
        <v>63</v>
      </c>
      <c r="I39" s="5">
        <v>75</v>
      </c>
      <c r="J39" s="5">
        <v>76</v>
      </c>
      <c r="K39" s="5">
        <v>80</v>
      </c>
      <c r="L39" s="5">
        <v>77</v>
      </c>
    </row>
    <row r="40" spans="1:12" x14ac:dyDescent="0.2">
      <c r="A40" t="s">
        <v>70</v>
      </c>
      <c r="B40" t="s">
        <v>67</v>
      </c>
      <c r="C40" s="5">
        <v>5002</v>
      </c>
      <c r="D40" s="5">
        <v>6605</v>
      </c>
      <c r="E40" s="5">
        <v>6444</v>
      </c>
      <c r="F40" s="5">
        <v>6709</v>
      </c>
      <c r="G40" s="5">
        <v>7073</v>
      </c>
      <c r="H40" s="5">
        <v>7904</v>
      </c>
      <c r="I40" s="5">
        <v>8924</v>
      </c>
      <c r="J40" s="5">
        <v>10010</v>
      </c>
      <c r="K40" s="5">
        <v>10426</v>
      </c>
      <c r="L40" s="5">
        <v>10360</v>
      </c>
    </row>
    <row r="41" spans="1:12" x14ac:dyDescent="0.2">
      <c r="A41" t="s">
        <v>71</v>
      </c>
      <c r="B41" t="s">
        <v>69</v>
      </c>
      <c r="C41" s="5">
        <v>318</v>
      </c>
      <c r="D41" s="5">
        <v>351</v>
      </c>
      <c r="E41" s="5">
        <v>388</v>
      </c>
      <c r="F41" s="5">
        <v>281</v>
      </c>
      <c r="G41" s="5">
        <v>275</v>
      </c>
      <c r="H41" s="5">
        <v>247</v>
      </c>
      <c r="I41" s="5">
        <v>230</v>
      </c>
      <c r="J41" s="5">
        <v>254</v>
      </c>
      <c r="K41" s="5">
        <v>266</v>
      </c>
      <c r="L41" s="5">
        <v>265</v>
      </c>
    </row>
    <row r="42" spans="1:12" ht="14.25" x14ac:dyDescent="0.2">
      <c r="A42" t="s">
        <v>73</v>
      </c>
      <c r="B42" s="6" t="s">
        <v>155</v>
      </c>
      <c r="C42" s="5">
        <v>1198</v>
      </c>
      <c r="D42" s="5">
        <v>1349</v>
      </c>
      <c r="E42" s="5">
        <v>1224</v>
      </c>
      <c r="F42" s="5">
        <v>1165</v>
      </c>
      <c r="G42" s="5">
        <v>1129</v>
      </c>
      <c r="H42" s="5">
        <v>1089</v>
      </c>
      <c r="I42" s="5">
        <v>824</v>
      </c>
      <c r="J42" s="5">
        <v>1139</v>
      </c>
      <c r="K42" s="5">
        <v>1407</v>
      </c>
      <c r="L42" s="5">
        <v>1313</v>
      </c>
    </row>
    <row r="43" spans="1:12" x14ac:dyDescent="0.2">
      <c r="A43" t="s">
        <v>75</v>
      </c>
      <c r="B43" t="s">
        <v>72</v>
      </c>
      <c r="C43" s="5">
        <v>73</v>
      </c>
      <c r="D43" s="5">
        <v>66</v>
      </c>
      <c r="E43" s="5">
        <v>56</v>
      </c>
      <c r="F43" s="5">
        <v>30</v>
      </c>
      <c r="G43" s="5">
        <v>29</v>
      </c>
      <c r="H43" s="5">
        <v>26</v>
      </c>
      <c r="I43" s="5">
        <v>24</v>
      </c>
      <c r="J43" s="5">
        <v>27</v>
      </c>
      <c r="K43" s="5">
        <v>28</v>
      </c>
      <c r="L43" s="5">
        <v>28</v>
      </c>
    </row>
    <row r="44" spans="1:12" x14ac:dyDescent="0.2">
      <c r="A44" t="s">
        <v>77</v>
      </c>
      <c r="B44" t="s">
        <v>74</v>
      </c>
      <c r="C44" s="5">
        <v>226</v>
      </c>
      <c r="D44" s="5">
        <v>269</v>
      </c>
      <c r="E44" s="5">
        <v>318</v>
      </c>
      <c r="F44" s="5">
        <v>253</v>
      </c>
      <c r="G44" s="5">
        <v>247</v>
      </c>
      <c r="H44" s="5">
        <v>224</v>
      </c>
      <c r="I44" s="5">
        <v>207</v>
      </c>
      <c r="J44" s="5">
        <v>228</v>
      </c>
      <c r="K44" s="5">
        <v>240</v>
      </c>
      <c r="L44" s="5">
        <v>239</v>
      </c>
    </row>
    <row r="45" spans="1:12" x14ac:dyDescent="0.2">
      <c r="A45" t="s">
        <v>79</v>
      </c>
      <c r="B45" t="s">
        <v>76</v>
      </c>
      <c r="C45" s="5">
        <v>48</v>
      </c>
      <c r="D45" s="5">
        <v>74</v>
      </c>
      <c r="E45" s="5">
        <v>27</v>
      </c>
      <c r="F45" s="5">
        <v>87</v>
      </c>
      <c r="G45" s="5">
        <v>91</v>
      </c>
      <c r="H45" s="5">
        <v>69</v>
      </c>
      <c r="I45" s="5">
        <v>21</v>
      </c>
      <c r="J45" s="5">
        <v>52</v>
      </c>
      <c r="K45" s="5">
        <v>81</v>
      </c>
      <c r="L45" s="5">
        <v>52</v>
      </c>
    </row>
    <row r="46" spans="1:12" x14ac:dyDescent="0.2">
      <c r="A46" t="s">
        <v>81</v>
      </c>
      <c r="B46" t="s">
        <v>78</v>
      </c>
      <c r="C46" s="5">
        <v>308</v>
      </c>
      <c r="D46" s="5">
        <v>342</v>
      </c>
      <c r="E46" s="5">
        <v>248</v>
      </c>
      <c r="F46" s="5">
        <v>262</v>
      </c>
      <c r="G46" s="5">
        <v>261</v>
      </c>
      <c r="H46" s="5">
        <v>298</v>
      </c>
      <c r="I46" s="5">
        <v>212</v>
      </c>
      <c r="J46" s="5">
        <v>330</v>
      </c>
      <c r="K46" s="5">
        <v>481</v>
      </c>
      <c r="L46" s="5">
        <v>476</v>
      </c>
    </row>
    <row r="47" spans="1:12" x14ac:dyDescent="0.2">
      <c r="A47" t="s">
        <v>83</v>
      </c>
      <c r="B47" t="s">
        <v>80</v>
      </c>
      <c r="C47" s="5">
        <v>543</v>
      </c>
      <c r="D47" s="5">
        <v>598</v>
      </c>
      <c r="E47" s="5">
        <v>575</v>
      </c>
      <c r="F47" s="5">
        <v>533</v>
      </c>
      <c r="G47" s="5">
        <v>502</v>
      </c>
      <c r="H47" s="5">
        <v>472</v>
      </c>
      <c r="I47" s="5">
        <v>360</v>
      </c>
      <c r="J47" s="5">
        <v>502</v>
      </c>
      <c r="K47" s="5">
        <v>578</v>
      </c>
      <c r="L47" s="5">
        <v>518</v>
      </c>
    </row>
    <row r="48" spans="1:12" x14ac:dyDescent="0.2">
      <c r="A48" t="s">
        <v>85</v>
      </c>
      <c r="B48" t="s">
        <v>82</v>
      </c>
      <c r="C48" s="5">
        <v>107906</v>
      </c>
      <c r="D48" s="5">
        <v>113873</v>
      </c>
      <c r="E48" s="5">
        <v>117333</v>
      </c>
      <c r="F48" s="5">
        <v>124107</v>
      </c>
      <c r="G48" s="5">
        <v>132094</v>
      </c>
      <c r="H48" s="5">
        <v>137456</v>
      </c>
      <c r="I48" s="5">
        <v>111286</v>
      </c>
      <c r="J48" s="5">
        <v>138135</v>
      </c>
      <c r="K48" s="5">
        <v>161825</v>
      </c>
      <c r="L48" s="5">
        <v>178995</v>
      </c>
    </row>
    <row r="49" spans="1:12" x14ac:dyDescent="0.2">
      <c r="A49" t="s">
        <v>87</v>
      </c>
      <c r="B49" t="s">
        <v>84</v>
      </c>
      <c r="C49" s="5">
        <v>7663</v>
      </c>
      <c r="D49" s="5">
        <v>7306</v>
      </c>
      <c r="E49" s="5">
        <v>6795</v>
      </c>
      <c r="F49" s="5">
        <v>8074</v>
      </c>
      <c r="G49" s="5">
        <v>8914</v>
      </c>
      <c r="H49" s="5">
        <v>8701</v>
      </c>
      <c r="I49" s="5">
        <v>8415</v>
      </c>
      <c r="J49" s="5">
        <v>10157</v>
      </c>
      <c r="K49" s="5">
        <v>12401</v>
      </c>
      <c r="L49" s="5">
        <v>14397</v>
      </c>
    </row>
    <row r="50" spans="1:12" x14ac:dyDescent="0.2">
      <c r="A50" t="s">
        <v>89</v>
      </c>
      <c r="B50" t="s">
        <v>86</v>
      </c>
      <c r="C50" s="5">
        <v>4431</v>
      </c>
      <c r="D50" s="5">
        <v>4043</v>
      </c>
      <c r="E50" s="5">
        <v>3502</v>
      </c>
      <c r="F50" s="5">
        <v>5170</v>
      </c>
      <c r="G50" s="5">
        <v>5747</v>
      </c>
      <c r="H50" s="5">
        <v>5527</v>
      </c>
      <c r="I50" s="5">
        <v>6283</v>
      </c>
      <c r="J50" s="5">
        <v>7442</v>
      </c>
      <c r="K50" s="5">
        <v>8772</v>
      </c>
      <c r="L50" s="5">
        <v>10258</v>
      </c>
    </row>
    <row r="51" spans="1:12" x14ac:dyDescent="0.2">
      <c r="A51" t="s">
        <v>91</v>
      </c>
      <c r="B51" t="s">
        <v>88</v>
      </c>
      <c r="C51" s="5">
        <v>3232</v>
      </c>
      <c r="D51" s="5">
        <v>3263</v>
      </c>
      <c r="E51" s="5">
        <v>3294</v>
      </c>
      <c r="F51" s="5">
        <v>2904</v>
      </c>
      <c r="G51" s="5">
        <v>3167</v>
      </c>
      <c r="H51" s="5">
        <v>3174</v>
      </c>
      <c r="I51" s="5">
        <v>2131</v>
      </c>
      <c r="J51" s="5">
        <v>2715</v>
      </c>
      <c r="K51" s="5">
        <v>3629</v>
      </c>
      <c r="L51" s="5">
        <v>4139</v>
      </c>
    </row>
    <row r="52" spans="1:12" x14ac:dyDescent="0.2">
      <c r="A52" t="s">
        <v>93</v>
      </c>
      <c r="B52" t="s">
        <v>90</v>
      </c>
      <c r="C52" s="5">
        <v>1428</v>
      </c>
      <c r="D52" s="5">
        <v>1708</v>
      </c>
      <c r="E52" s="5">
        <v>2425</v>
      </c>
      <c r="F52" s="5">
        <v>3033</v>
      </c>
      <c r="G52" s="5">
        <v>3001</v>
      </c>
      <c r="H52" s="5">
        <v>3059</v>
      </c>
      <c r="I52" s="5">
        <v>3137</v>
      </c>
      <c r="J52" s="5">
        <v>3727</v>
      </c>
      <c r="K52" s="5">
        <v>3638</v>
      </c>
      <c r="L52" s="5">
        <v>3834</v>
      </c>
    </row>
    <row r="53" spans="1:12" x14ac:dyDescent="0.2">
      <c r="A53" t="s">
        <v>95</v>
      </c>
      <c r="B53" t="s">
        <v>92</v>
      </c>
      <c r="C53" s="5">
        <v>15942</v>
      </c>
      <c r="D53" s="5">
        <v>16414</v>
      </c>
      <c r="E53" s="5">
        <v>15967</v>
      </c>
      <c r="F53" s="5">
        <v>15977</v>
      </c>
      <c r="G53" s="5">
        <v>16718</v>
      </c>
      <c r="H53" s="5">
        <v>17955</v>
      </c>
      <c r="I53" s="5">
        <v>15843</v>
      </c>
      <c r="J53" s="5">
        <v>18434</v>
      </c>
      <c r="K53" s="5">
        <v>21545</v>
      </c>
      <c r="L53" s="5">
        <v>23261</v>
      </c>
    </row>
    <row r="54" spans="1:12" x14ac:dyDescent="0.2">
      <c r="A54" t="s">
        <v>97</v>
      </c>
      <c r="B54" t="s">
        <v>94</v>
      </c>
      <c r="C54" s="5">
        <v>1180</v>
      </c>
      <c r="D54" s="5">
        <v>1229</v>
      </c>
      <c r="E54" s="5">
        <v>1307</v>
      </c>
      <c r="F54" s="5">
        <v>1274</v>
      </c>
      <c r="G54" s="5">
        <v>1313</v>
      </c>
      <c r="H54" s="5">
        <v>1490</v>
      </c>
      <c r="I54" s="5">
        <v>1094</v>
      </c>
      <c r="J54" s="5">
        <v>1323</v>
      </c>
      <c r="K54" s="5">
        <v>1614</v>
      </c>
      <c r="L54" s="5">
        <v>1776</v>
      </c>
    </row>
    <row r="55" spans="1:12" x14ac:dyDescent="0.2">
      <c r="A55" t="s">
        <v>99</v>
      </c>
      <c r="B55" t="s">
        <v>96</v>
      </c>
      <c r="C55" s="5">
        <v>8294</v>
      </c>
      <c r="D55" s="5">
        <v>8798</v>
      </c>
      <c r="E55" s="5">
        <v>9002</v>
      </c>
      <c r="F55" s="5">
        <v>8656</v>
      </c>
      <c r="G55" s="5">
        <v>8693</v>
      </c>
      <c r="H55" s="5">
        <v>9620</v>
      </c>
      <c r="I55" s="5">
        <v>9304</v>
      </c>
      <c r="J55" s="5">
        <v>9784</v>
      </c>
      <c r="K55" s="5">
        <v>10948</v>
      </c>
      <c r="L55" s="5">
        <v>12291</v>
      </c>
    </row>
    <row r="56" spans="1:12" x14ac:dyDescent="0.2">
      <c r="A56" t="s">
        <v>101</v>
      </c>
      <c r="B56" t="s">
        <v>98</v>
      </c>
      <c r="C56" s="5">
        <v>45</v>
      </c>
      <c r="D56" s="5">
        <v>45</v>
      </c>
      <c r="E56" s="5">
        <v>49</v>
      </c>
      <c r="F56" s="5">
        <v>25</v>
      </c>
      <c r="G56" s="5">
        <v>22</v>
      </c>
      <c r="H56" s="5">
        <v>27</v>
      </c>
      <c r="I56" s="5">
        <v>40</v>
      </c>
      <c r="J56" s="5">
        <v>53</v>
      </c>
      <c r="K56" s="5">
        <v>44</v>
      </c>
      <c r="L56" s="5">
        <v>50</v>
      </c>
    </row>
    <row r="57" spans="1:12" x14ac:dyDescent="0.2">
      <c r="A57" t="s">
        <v>102</v>
      </c>
      <c r="B57" t="s">
        <v>100</v>
      </c>
      <c r="C57" s="5">
        <v>196</v>
      </c>
      <c r="D57" s="5">
        <v>183</v>
      </c>
      <c r="E57" s="5">
        <v>170</v>
      </c>
      <c r="F57" s="5">
        <v>111</v>
      </c>
      <c r="G57" s="5">
        <v>112</v>
      </c>
      <c r="H57" s="5">
        <v>116</v>
      </c>
      <c r="I57" s="5">
        <v>134</v>
      </c>
      <c r="J57" s="5">
        <v>149</v>
      </c>
      <c r="K57" s="5">
        <v>133</v>
      </c>
      <c r="L57" s="5">
        <v>158</v>
      </c>
    </row>
    <row r="58" spans="1:12" ht="14.25" x14ac:dyDescent="0.2">
      <c r="A58" t="s">
        <v>103</v>
      </c>
      <c r="B58" s="6" t="s">
        <v>154</v>
      </c>
      <c r="C58" s="5">
        <v>6226</v>
      </c>
      <c r="D58" s="5">
        <v>6159</v>
      </c>
      <c r="E58" s="5">
        <v>5439</v>
      </c>
      <c r="F58" s="5">
        <v>5911</v>
      </c>
      <c r="G58" s="5">
        <v>6578</v>
      </c>
      <c r="H58" s="5">
        <v>6701</v>
      </c>
      <c r="I58" s="5">
        <v>5270</v>
      </c>
      <c r="J58" s="5">
        <v>7125</v>
      </c>
      <c r="K58" s="5">
        <v>8807</v>
      </c>
      <c r="L58" s="5">
        <v>8987</v>
      </c>
    </row>
    <row r="59" spans="1:12" ht="14.25" x14ac:dyDescent="0.2">
      <c r="A59" t="s">
        <v>105</v>
      </c>
      <c r="B59" s="6" t="s">
        <v>153</v>
      </c>
      <c r="C59" s="5">
        <v>2467</v>
      </c>
      <c r="D59" s="5">
        <v>2606</v>
      </c>
      <c r="E59" s="5">
        <v>2476</v>
      </c>
      <c r="F59" s="5">
        <v>2242</v>
      </c>
      <c r="G59" s="5">
        <v>2437</v>
      </c>
      <c r="H59" s="5">
        <v>2941</v>
      </c>
      <c r="I59" s="5">
        <v>4111</v>
      </c>
      <c r="J59" s="5">
        <v>4682</v>
      </c>
      <c r="K59" s="5">
        <v>3646</v>
      </c>
      <c r="L59" s="5">
        <v>3854</v>
      </c>
    </row>
    <row r="60" spans="1:12" x14ac:dyDescent="0.2">
      <c r="A60" t="s">
        <v>107</v>
      </c>
      <c r="B60" t="s">
        <v>104</v>
      </c>
      <c r="C60" s="5">
        <v>12980</v>
      </c>
      <c r="D60" s="5">
        <v>13767</v>
      </c>
      <c r="E60" s="5">
        <v>14098</v>
      </c>
      <c r="F60" s="5">
        <v>14491</v>
      </c>
      <c r="G60" s="5">
        <v>15105</v>
      </c>
      <c r="H60" s="5">
        <v>15490</v>
      </c>
      <c r="I60" s="5">
        <v>14126</v>
      </c>
      <c r="J60" s="5">
        <v>16696</v>
      </c>
      <c r="K60" s="5">
        <v>18161</v>
      </c>
      <c r="L60" s="5">
        <v>19697</v>
      </c>
    </row>
    <row r="61" spans="1:12" x14ac:dyDescent="0.2">
      <c r="A61" t="s">
        <v>109</v>
      </c>
      <c r="B61" t="s">
        <v>106</v>
      </c>
      <c r="C61" s="5">
        <v>1330</v>
      </c>
      <c r="D61" s="5">
        <v>1170</v>
      </c>
      <c r="E61" s="5">
        <v>1344</v>
      </c>
      <c r="F61" s="5">
        <v>1376</v>
      </c>
      <c r="G61" s="5">
        <v>1455</v>
      </c>
      <c r="H61" s="5">
        <v>1462</v>
      </c>
      <c r="I61" s="5">
        <v>1674</v>
      </c>
      <c r="J61" s="5">
        <v>1390</v>
      </c>
      <c r="K61" s="5">
        <v>1336</v>
      </c>
      <c r="L61" s="5">
        <v>1675</v>
      </c>
    </row>
    <row r="62" spans="1:12" x14ac:dyDescent="0.2">
      <c r="A62" t="s">
        <v>111</v>
      </c>
      <c r="B62" t="s">
        <v>108</v>
      </c>
      <c r="C62" s="5">
        <v>119</v>
      </c>
      <c r="D62" s="5">
        <v>124</v>
      </c>
      <c r="E62" s="5">
        <v>127</v>
      </c>
      <c r="F62" s="5">
        <v>126</v>
      </c>
      <c r="G62" s="5">
        <v>120</v>
      </c>
      <c r="H62" s="5">
        <v>135</v>
      </c>
      <c r="I62" s="5">
        <v>131</v>
      </c>
      <c r="J62" s="5">
        <v>163</v>
      </c>
      <c r="K62" s="5">
        <v>175</v>
      </c>
      <c r="L62" s="5">
        <v>164</v>
      </c>
    </row>
    <row r="63" spans="1:12" x14ac:dyDescent="0.2">
      <c r="A63" t="s">
        <v>113</v>
      </c>
      <c r="B63" t="s">
        <v>110</v>
      </c>
      <c r="C63" s="5">
        <v>1439</v>
      </c>
      <c r="D63" s="5">
        <v>1569</v>
      </c>
      <c r="E63" s="5">
        <v>1708</v>
      </c>
      <c r="F63" s="5">
        <v>1938</v>
      </c>
      <c r="G63" s="5">
        <v>2152</v>
      </c>
      <c r="H63" s="5">
        <v>2216</v>
      </c>
      <c r="I63" s="5">
        <v>1480</v>
      </c>
      <c r="J63" s="5">
        <v>2404</v>
      </c>
      <c r="K63" s="5">
        <v>2891</v>
      </c>
      <c r="L63" s="5">
        <v>3171</v>
      </c>
    </row>
    <row r="64" spans="1:12" x14ac:dyDescent="0.2">
      <c r="A64" t="s">
        <v>114</v>
      </c>
      <c r="B64" t="s">
        <v>112</v>
      </c>
      <c r="C64" s="5">
        <v>780</v>
      </c>
      <c r="D64" s="5">
        <v>874</v>
      </c>
      <c r="E64" s="5">
        <v>827</v>
      </c>
      <c r="F64" s="5">
        <v>808</v>
      </c>
      <c r="G64" s="5">
        <v>797</v>
      </c>
      <c r="H64" s="5">
        <v>895</v>
      </c>
      <c r="I64" s="5">
        <v>1259</v>
      </c>
      <c r="J64" s="5">
        <v>1366</v>
      </c>
      <c r="K64" s="5">
        <v>1508</v>
      </c>
      <c r="L64" s="5">
        <v>1737</v>
      </c>
    </row>
    <row r="65" spans="1:12" x14ac:dyDescent="0.2">
      <c r="A65" t="s">
        <v>116</v>
      </c>
      <c r="B65" s="6" t="s">
        <v>142</v>
      </c>
      <c r="C65" s="5">
        <v>2975</v>
      </c>
      <c r="D65" s="5">
        <v>3101</v>
      </c>
      <c r="E65" s="5">
        <v>3085</v>
      </c>
      <c r="F65" s="5">
        <v>2866</v>
      </c>
      <c r="G65" s="5">
        <v>3203</v>
      </c>
      <c r="H65" s="5">
        <v>3309</v>
      </c>
      <c r="I65" s="5">
        <v>3140</v>
      </c>
      <c r="J65" s="5">
        <v>3628</v>
      </c>
      <c r="K65" s="5">
        <v>3707</v>
      </c>
      <c r="L65" s="5">
        <v>3987</v>
      </c>
    </row>
    <row r="66" spans="1:12" x14ac:dyDescent="0.2">
      <c r="A66" t="s">
        <v>118</v>
      </c>
      <c r="B66" t="s">
        <v>115</v>
      </c>
      <c r="C66" s="5">
        <v>130</v>
      </c>
      <c r="D66" s="5">
        <v>185</v>
      </c>
      <c r="E66" s="5">
        <v>132</v>
      </c>
      <c r="F66" s="5">
        <v>117</v>
      </c>
      <c r="G66" s="5">
        <v>103</v>
      </c>
      <c r="H66" s="5">
        <v>121</v>
      </c>
      <c r="I66" s="5">
        <v>118</v>
      </c>
      <c r="J66" s="5">
        <v>133</v>
      </c>
      <c r="K66" s="5">
        <v>132</v>
      </c>
      <c r="L66" s="5">
        <v>139</v>
      </c>
    </row>
    <row r="67" spans="1:12" x14ac:dyDescent="0.2">
      <c r="A67" t="s">
        <v>120</v>
      </c>
      <c r="B67" t="s">
        <v>117</v>
      </c>
      <c r="C67" s="5">
        <v>6207</v>
      </c>
      <c r="D67" s="5">
        <v>6744</v>
      </c>
      <c r="E67" s="5">
        <v>6875</v>
      </c>
      <c r="F67" s="5">
        <v>7261</v>
      </c>
      <c r="G67" s="5">
        <v>7274</v>
      </c>
      <c r="H67" s="5">
        <v>7352</v>
      </c>
      <c r="I67" s="5">
        <v>6324</v>
      </c>
      <c r="J67" s="5">
        <v>7611</v>
      </c>
      <c r="K67" s="5">
        <v>8412</v>
      </c>
      <c r="L67" s="5">
        <v>8825</v>
      </c>
    </row>
    <row r="68" spans="1:12" x14ac:dyDescent="0.2">
      <c r="A68" t="s">
        <v>122</v>
      </c>
      <c r="B68" t="s">
        <v>119</v>
      </c>
      <c r="C68" s="5">
        <v>67427</v>
      </c>
      <c r="D68" s="5">
        <v>72073</v>
      </c>
      <c r="E68" s="5">
        <v>75571</v>
      </c>
      <c r="F68" s="5">
        <v>80289</v>
      </c>
      <c r="G68" s="5">
        <v>85920</v>
      </c>
      <c r="H68" s="5">
        <v>89310</v>
      </c>
      <c r="I68" s="5">
        <v>65654</v>
      </c>
      <c r="J68" s="5">
        <v>84439</v>
      </c>
      <c r="K68" s="5">
        <v>102434</v>
      </c>
      <c r="L68" s="5">
        <v>113952</v>
      </c>
    </row>
    <row r="69" spans="1:12" x14ac:dyDescent="0.2">
      <c r="A69" t="s">
        <v>124</v>
      </c>
      <c r="B69" t="s">
        <v>121</v>
      </c>
      <c r="C69" s="5">
        <v>8666</v>
      </c>
      <c r="D69" s="5">
        <v>9457</v>
      </c>
      <c r="E69" s="5">
        <v>10114</v>
      </c>
      <c r="F69" s="5">
        <v>11278</v>
      </c>
      <c r="G69" s="5">
        <v>11636</v>
      </c>
      <c r="H69" s="5">
        <v>11463</v>
      </c>
      <c r="I69" s="5">
        <v>5778</v>
      </c>
      <c r="J69" s="5">
        <v>11259</v>
      </c>
      <c r="K69" s="5">
        <v>12848</v>
      </c>
      <c r="L69" s="5">
        <v>14404</v>
      </c>
    </row>
    <row r="70" spans="1:12" x14ac:dyDescent="0.2">
      <c r="A70" t="s">
        <v>126</v>
      </c>
      <c r="B70" t="s">
        <v>123</v>
      </c>
      <c r="C70" s="5">
        <v>47332</v>
      </c>
      <c r="D70" s="5">
        <v>50532</v>
      </c>
      <c r="E70" s="5">
        <v>51818</v>
      </c>
      <c r="F70" s="5">
        <v>54451</v>
      </c>
      <c r="G70" s="5">
        <v>57570</v>
      </c>
      <c r="H70" s="5">
        <v>60091</v>
      </c>
      <c r="I70" s="5">
        <v>53800</v>
      </c>
      <c r="J70" s="5">
        <v>60853</v>
      </c>
      <c r="K70" s="5">
        <v>70936</v>
      </c>
      <c r="L70" s="5">
        <v>78433</v>
      </c>
    </row>
    <row r="71" spans="1:12" x14ac:dyDescent="0.2">
      <c r="A71" t="s">
        <v>128</v>
      </c>
      <c r="B71" t="s">
        <v>125</v>
      </c>
      <c r="C71" s="5">
        <v>1126</v>
      </c>
      <c r="D71" s="5">
        <v>1283</v>
      </c>
      <c r="E71" s="5">
        <v>1376</v>
      </c>
      <c r="F71" s="5">
        <v>1510</v>
      </c>
      <c r="G71" s="5">
        <v>1649</v>
      </c>
      <c r="H71" s="5">
        <v>1648</v>
      </c>
      <c r="I71" s="5">
        <v>614</v>
      </c>
      <c r="J71" s="5">
        <v>794</v>
      </c>
      <c r="K71" s="5">
        <v>1599</v>
      </c>
      <c r="L71" s="5">
        <v>2090</v>
      </c>
    </row>
    <row r="72" spans="1:12" x14ac:dyDescent="0.2">
      <c r="A72" t="s">
        <v>130</v>
      </c>
      <c r="B72" t="s">
        <v>127</v>
      </c>
      <c r="C72" s="5">
        <v>10304</v>
      </c>
      <c r="D72" s="5">
        <v>10801</v>
      </c>
      <c r="E72" s="5">
        <v>12264</v>
      </c>
      <c r="F72" s="5">
        <v>13049</v>
      </c>
      <c r="G72" s="5">
        <v>15065</v>
      </c>
      <c r="H72" s="5">
        <v>16108</v>
      </c>
      <c r="I72" s="5">
        <v>5463</v>
      </c>
      <c r="J72" s="5">
        <v>11532</v>
      </c>
      <c r="K72" s="5">
        <v>17051</v>
      </c>
      <c r="L72" s="5">
        <v>19025</v>
      </c>
    </row>
    <row r="73" spans="1:12" x14ac:dyDescent="0.2">
      <c r="A73" t="s">
        <v>132</v>
      </c>
      <c r="B73" t="s">
        <v>129</v>
      </c>
      <c r="C73" s="5">
        <v>116439</v>
      </c>
      <c r="D73" s="5">
        <v>117727</v>
      </c>
      <c r="E73" s="5">
        <v>119131</v>
      </c>
      <c r="F73" s="5">
        <v>119062</v>
      </c>
      <c r="G73" s="5">
        <v>119797</v>
      </c>
      <c r="H73" s="5">
        <v>124171</v>
      </c>
      <c r="I73" s="5">
        <v>133154</v>
      </c>
      <c r="J73" s="5">
        <v>141531</v>
      </c>
      <c r="K73" s="5">
        <v>149876</v>
      </c>
      <c r="L73" s="5">
        <v>155661</v>
      </c>
    </row>
    <row r="74" spans="1:12" x14ac:dyDescent="0.2">
      <c r="A74" t="s">
        <v>134</v>
      </c>
      <c r="B74" t="s">
        <v>131</v>
      </c>
      <c r="C74" s="5">
        <v>108052</v>
      </c>
      <c r="D74" s="5">
        <v>109451</v>
      </c>
      <c r="E74" s="5">
        <v>110675</v>
      </c>
      <c r="F74" s="5">
        <v>110267</v>
      </c>
      <c r="G74" s="5">
        <v>110056</v>
      </c>
      <c r="H74" s="5">
        <v>114083</v>
      </c>
      <c r="I74" s="5">
        <v>122352</v>
      </c>
      <c r="J74" s="5">
        <v>130467</v>
      </c>
      <c r="K74" s="5">
        <v>138073</v>
      </c>
      <c r="L74" s="5">
        <v>142431</v>
      </c>
    </row>
    <row r="75" spans="1:12" x14ac:dyDescent="0.2">
      <c r="A75" t="s">
        <v>145</v>
      </c>
      <c r="B75" t="s">
        <v>133</v>
      </c>
      <c r="C75" s="5">
        <v>6122</v>
      </c>
      <c r="D75" s="5">
        <v>5973</v>
      </c>
      <c r="E75" s="5">
        <v>6155</v>
      </c>
      <c r="F75" s="5">
        <v>6689</v>
      </c>
      <c r="G75" s="5">
        <v>7063</v>
      </c>
      <c r="H75" s="5">
        <v>7243</v>
      </c>
      <c r="I75" s="5">
        <v>7762</v>
      </c>
      <c r="J75" s="5">
        <v>7984</v>
      </c>
      <c r="K75" s="5">
        <v>7815</v>
      </c>
      <c r="L75" s="5">
        <v>8898</v>
      </c>
    </row>
    <row r="76" spans="1:12" x14ac:dyDescent="0.2">
      <c r="A76" s="7" t="s">
        <v>146</v>
      </c>
      <c r="B76" s="7" t="s">
        <v>135</v>
      </c>
      <c r="C76" s="8">
        <v>2266</v>
      </c>
      <c r="D76" s="8">
        <v>2304</v>
      </c>
      <c r="E76" s="8">
        <v>2302</v>
      </c>
      <c r="F76" s="8">
        <v>2106</v>
      </c>
      <c r="G76" s="8">
        <v>2677</v>
      </c>
      <c r="H76" s="8">
        <v>2845</v>
      </c>
      <c r="I76" s="8">
        <v>3040</v>
      </c>
      <c r="J76" s="8">
        <v>3080</v>
      </c>
      <c r="K76" s="8">
        <v>3988</v>
      </c>
      <c r="L76" s="8">
        <v>4331</v>
      </c>
    </row>
    <row r="77" spans="1:12" ht="12.95" customHeight="1" x14ac:dyDescent="0.2">
      <c r="A77" s="20" t="s">
        <v>162</v>
      </c>
      <c r="B77" s="21"/>
      <c r="C77" s="21"/>
      <c r="D77" s="21"/>
      <c r="E77" s="21"/>
      <c r="F77" s="21"/>
      <c r="G77" s="21"/>
      <c r="H77" s="21"/>
      <c r="I77" s="21"/>
      <c r="J77" s="21"/>
      <c r="K77" s="21"/>
      <c r="L77" s="21"/>
    </row>
    <row r="78" spans="1:12" s="6" customFormat="1" ht="27.95" customHeight="1" x14ac:dyDescent="0.2">
      <c r="A78" s="17" t="s">
        <v>152</v>
      </c>
      <c r="B78" s="17"/>
      <c r="C78" s="17"/>
      <c r="D78" s="17"/>
      <c r="E78" s="17"/>
      <c r="F78" s="17"/>
      <c r="G78" s="17"/>
      <c r="H78" s="17"/>
      <c r="I78" s="17"/>
      <c r="J78" s="17"/>
      <c r="K78" s="17"/>
      <c r="L78" s="17"/>
    </row>
    <row r="79" spans="1:12" s="6" customFormat="1" ht="27.95" customHeight="1" x14ac:dyDescent="0.2">
      <c r="A79" s="17" t="s">
        <v>151</v>
      </c>
      <c r="B79" s="17"/>
      <c r="C79" s="17"/>
      <c r="D79" s="17"/>
      <c r="E79" s="17"/>
      <c r="F79" s="17"/>
      <c r="G79" s="17"/>
      <c r="H79" s="17"/>
      <c r="I79" s="17"/>
      <c r="J79" s="17"/>
      <c r="K79" s="17"/>
      <c r="L79" s="17"/>
    </row>
    <row r="80" spans="1:12" s="6" customFormat="1" ht="12.95" customHeight="1" x14ac:dyDescent="0.2">
      <c r="A80" s="17" t="s">
        <v>150</v>
      </c>
      <c r="B80" s="17"/>
      <c r="C80" s="17"/>
      <c r="D80" s="17"/>
      <c r="E80" s="17"/>
      <c r="F80" s="17"/>
      <c r="G80" s="17"/>
      <c r="H80" s="17"/>
      <c r="I80" s="17"/>
      <c r="J80" s="17"/>
      <c r="K80" s="17"/>
      <c r="L80" s="17"/>
    </row>
    <row r="81" spans="1:12" s="6" customFormat="1" ht="12.95" customHeight="1" x14ac:dyDescent="0.2">
      <c r="A81" s="17" t="s">
        <v>149</v>
      </c>
      <c r="B81" s="17"/>
      <c r="C81" s="17"/>
      <c r="D81" s="17"/>
      <c r="E81" s="17"/>
      <c r="F81" s="17"/>
      <c r="G81" s="17"/>
      <c r="H81" s="17"/>
      <c r="I81" s="17"/>
      <c r="J81" s="17"/>
      <c r="K81" s="17"/>
      <c r="L81" s="17"/>
    </row>
  </sheetData>
  <mergeCells count="7">
    <mergeCell ref="A81:L81"/>
    <mergeCell ref="A80:L80"/>
    <mergeCell ref="A1:L1"/>
    <mergeCell ref="A2:L2"/>
    <mergeCell ref="A77:L77"/>
    <mergeCell ref="A78:L78"/>
    <mergeCell ref="A79:L79"/>
  </mergeCells>
  <phoneticPr fontId="7" type="noConversion"/>
  <pageMargins left="0.75" right="0.75" top="1" bottom="1" header="0.5" footer="0.5"/>
  <pageSetup orientation="portrait" horizontalDpi="300" verticalDpi="300" r:id="rId1"/>
  <headerFooter alignWithMargins="0"/>
  <customProperties>
    <customPr name="SourceTable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EDE9F-5D44-4822-8B5E-49C3E5B24E0D}">
  <dimension ref="A1:L82"/>
  <sheetViews>
    <sheetView workbookViewId="0">
      <pane ySplit="3" topLeftCell="A4" activePane="bottomLeft" state="frozen"/>
      <selection sqref="A1:L1"/>
      <selection pane="bottomLeft" sqref="A1:L1"/>
    </sheetView>
  </sheetViews>
  <sheetFormatPr defaultRowHeight="12.75" x14ac:dyDescent="0.2"/>
  <cols>
    <col min="2" max="2" width="70.7109375" customWidth="1"/>
    <col min="3" max="12" width="9.7109375" customWidth="1"/>
  </cols>
  <sheetData>
    <row r="1" spans="1:12" ht="18" x14ac:dyDescent="0.25">
      <c r="A1" s="18" t="s">
        <v>158</v>
      </c>
      <c r="B1" s="18"/>
      <c r="C1" s="18"/>
      <c r="D1" s="18"/>
      <c r="E1" s="18"/>
      <c r="F1" s="18"/>
      <c r="G1" s="18"/>
      <c r="H1" s="18"/>
      <c r="I1" s="18"/>
      <c r="J1" s="18"/>
      <c r="K1" s="18"/>
      <c r="L1" s="18"/>
    </row>
    <row r="2" spans="1:12" ht="16.5" customHeight="1" x14ac:dyDescent="0.25">
      <c r="A2" s="19"/>
      <c r="B2" s="22"/>
      <c r="C2" s="22"/>
      <c r="D2" s="22"/>
      <c r="E2" s="22"/>
      <c r="F2" s="22"/>
      <c r="G2" s="22"/>
      <c r="H2" s="22"/>
    </row>
    <row r="3" spans="1:12" x14ac:dyDescent="0.2">
      <c r="A3" s="10" t="s">
        <v>0</v>
      </c>
      <c r="B3" s="10" t="s">
        <v>0</v>
      </c>
      <c r="C3" s="10">
        <v>2014</v>
      </c>
      <c r="D3" s="10">
        <v>2015</v>
      </c>
      <c r="E3" s="10">
        <v>2016</v>
      </c>
      <c r="F3" s="10">
        <v>2017</v>
      </c>
      <c r="G3" s="10">
        <v>2018</v>
      </c>
      <c r="H3" s="10">
        <v>2019</v>
      </c>
      <c r="I3" s="10">
        <v>2020</v>
      </c>
      <c r="J3" s="10">
        <v>2021</v>
      </c>
      <c r="K3" s="10">
        <v>2022</v>
      </c>
      <c r="L3" s="10">
        <v>2023</v>
      </c>
    </row>
    <row r="4" spans="1:12" x14ac:dyDescent="0.2">
      <c r="A4" s="1" t="s">
        <v>1</v>
      </c>
      <c r="B4" s="1" t="s">
        <v>141</v>
      </c>
      <c r="C4" s="1">
        <v>2.1</v>
      </c>
      <c r="D4" s="1">
        <v>1.9</v>
      </c>
      <c r="E4" s="1">
        <v>1.9</v>
      </c>
      <c r="F4" s="1">
        <v>1.8</v>
      </c>
      <c r="G4" s="1">
        <v>1.8</v>
      </c>
      <c r="H4" s="1">
        <v>1.8</v>
      </c>
      <c r="I4" s="1">
        <v>1.7</v>
      </c>
      <c r="J4" s="1">
        <v>1.8</v>
      </c>
      <c r="K4" s="1">
        <v>1.9</v>
      </c>
      <c r="L4" s="1">
        <v>1.8</v>
      </c>
    </row>
    <row r="5" spans="1:12" x14ac:dyDescent="0.2">
      <c r="A5" t="s">
        <v>2</v>
      </c>
      <c r="B5" t="s">
        <v>3</v>
      </c>
      <c r="C5" s="13">
        <v>0.1</v>
      </c>
      <c r="D5" s="13">
        <v>0.1</v>
      </c>
      <c r="E5" s="13">
        <v>0.1</v>
      </c>
      <c r="F5" s="13">
        <v>0.1</v>
      </c>
      <c r="G5" s="13">
        <v>0.1</v>
      </c>
      <c r="H5" s="13">
        <v>0.1</v>
      </c>
      <c r="I5" s="13">
        <v>0.1</v>
      </c>
      <c r="J5" s="13">
        <v>0.1</v>
      </c>
      <c r="K5" s="13">
        <v>0.1</v>
      </c>
      <c r="L5" s="13">
        <v>0.1</v>
      </c>
    </row>
    <row r="6" spans="1:12" x14ac:dyDescent="0.2">
      <c r="A6" t="s">
        <v>4</v>
      </c>
      <c r="B6" t="s">
        <v>5</v>
      </c>
      <c r="C6" s="13">
        <v>0.1</v>
      </c>
      <c r="D6" s="13">
        <v>0.1</v>
      </c>
      <c r="E6" s="13">
        <v>0.1</v>
      </c>
      <c r="F6" s="13">
        <v>0.1</v>
      </c>
      <c r="G6" s="13">
        <v>0.1</v>
      </c>
      <c r="H6" s="13">
        <v>0.1</v>
      </c>
      <c r="I6" s="13">
        <v>0.1</v>
      </c>
      <c r="J6" s="13">
        <v>0.1</v>
      </c>
      <c r="K6" s="13">
        <v>0.1</v>
      </c>
      <c r="L6" s="13">
        <v>0.1</v>
      </c>
    </row>
    <row r="7" spans="1:12" x14ac:dyDescent="0.2">
      <c r="A7" t="s">
        <v>6</v>
      </c>
      <c r="B7" t="s">
        <v>7</v>
      </c>
      <c r="C7" s="13">
        <v>0</v>
      </c>
      <c r="D7" s="13">
        <v>0</v>
      </c>
      <c r="E7" s="13">
        <v>0</v>
      </c>
      <c r="F7" s="13">
        <v>0</v>
      </c>
      <c r="G7" s="13">
        <v>0</v>
      </c>
      <c r="H7" s="13">
        <v>0</v>
      </c>
      <c r="I7" s="13">
        <v>0</v>
      </c>
      <c r="J7" s="13">
        <v>0</v>
      </c>
      <c r="K7" s="13">
        <v>0</v>
      </c>
      <c r="L7" s="13">
        <v>0</v>
      </c>
    </row>
    <row r="8" spans="1:12" x14ac:dyDescent="0.2">
      <c r="A8" t="s">
        <v>8</v>
      </c>
      <c r="B8" t="s">
        <v>9</v>
      </c>
      <c r="C8" s="13">
        <v>0</v>
      </c>
      <c r="D8" s="13">
        <v>0</v>
      </c>
      <c r="E8" s="13">
        <v>0</v>
      </c>
      <c r="F8" s="13">
        <v>0</v>
      </c>
      <c r="G8" s="13">
        <v>0</v>
      </c>
      <c r="H8" s="13">
        <v>0</v>
      </c>
      <c r="I8" s="13">
        <v>0</v>
      </c>
      <c r="J8" s="13">
        <v>0</v>
      </c>
      <c r="K8" s="13">
        <v>0</v>
      </c>
      <c r="L8" s="13">
        <v>0</v>
      </c>
    </row>
    <row r="9" spans="1:12" x14ac:dyDescent="0.2">
      <c r="A9" t="s">
        <v>10</v>
      </c>
      <c r="B9" t="s">
        <v>11</v>
      </c>
      <c r="C9" s="13">
        <v>0</v>
      </c>
      <c r="D9" s="13">
        <v>0</v>
      </c>
      <c r="E9" s="13">
        <v>0</v>
      </c>
      <c r="F9" s="13">
        <v>0</v>
      </c>
      <c r="G9" s="13">
        <v>0</v>
      </c>
      <c r="H9" s="13">
        <v>0</v>
      </c>
      <c r="I9" s="13">
        <v>0</v>
      </c>
      <c r="J9" s="13">
        <v>0</v>
      </c>
      <c r="K9" s="13">
        <v>0</v>
      </c>
      <c r="L9" s="13">
        <v>0</v>
      </c>
    </row>
    <row r="10" spans="1:12" x14ac:dyDescent="0.2">
      <c r="A10" t="s">
        <v>12</v>
      </c>
      <c r="B10" t="s">
        <v>13</v>
      </c>
      <c r="C10" s="13">
        <v>0</v>
      </c>
      <c r="D10" s="13">
        <v>0</v>
      </c>
      <c r="E10" s="13">
        <v>0</v>
      </c>
      <c r="F10" s="13">
        <v>0</v>
      </c>
      <c r="G10" s="13">
        <v>0</v>
      </c>
      <c r="H10" s="13">
        <v>0</v>
      </c>
      <c r="I10" s="13">
        <v>0</v>
      </c>
      <c r="J10" s="13">
        <v>0</v>
      </c>
      <c r="K10" s="13">
        <v>0</v>
      </c>
      <c r="L10" s="13">
        <v>0</v>
      </c>
    </row>
    <row r="11" spans="1:12" x14ac:dyDescent="0.2">
      <c r="A11" t="s">
        <v>14</v>
      </c>
      <c r="B11" t="s">
        <v>15</v>
      </c>
      <c r="C11" s="13">
        <v>0</v>
      </c>
      <c r="D11" s="13">
        <v>0</v>
      </c>
      <c r="E11" s="13">
        <v>0</v>
      </c>
      <c r="F11" s="13">
        <v>0</v>
      </c>
      <c r="G11" s="13">
        <v>0</v>
      </c>
      <c r="H11" s="13">
        <v>0</v>
      </c>
      <c r="I11" s="13">
        <v>0</v>
      </c>
      <c r="J11" s="13">
        <v>0</v>
      </c>
      <c r="K11" s="13">
        <v>0</v>
      </c>
      <c r="L11" s="13">
        <v>0</v>
      </c>
    </row>
    <row r="12" spans="1:12" x14ac:dyDescent="0.2">
      <c r="A12" t="s">
        <v>16</v>
      </c>
      <c r="B12" t="s">
        <v>17</v>
      </c>
      <c r="C12" s="13">
        <v>0</v>
      </c>
      <c r="D12" s="13">
        <v>0</v>
      </c>
      <c r="E12" s="13">
        <v>0</v>
      </c>
      <c r="F12" s="13">
        <v>0</v>
      </c>
      <c r="G12" s="13">
        <v>0</v>
      </c>
      <c r="H12" s="13">
        <v>0</v>
      </c>
      <c r="I12" s="13">
        <v>0</v>
      </c>
      <c r="J12" s="13">
        <v>0</v>
      </c>
      <c r="K12" s="13">
        <v>0</v>
      </c>
      <c r="L12" s="13">
        <v>0</v>
      </c>
    </row>
    <row r="13" spans="1:12" x14ac:dyDescent="0.2">
      <c r="A13" t="s">
        <v>18</v>
      </c>
      <c r="B13" t="s">
        <v>19</v>
      </c>
      <c r="C13" s="13">
        <v>0</v>
      </c>
      <c r="D13" s="13">
        <v>0</v>
      </c>
      <c r="E13" s="13">
        <v>0</v>
      </c>
      <c r="F13" s="13">
        <v>0</v>
      </c>
      <c r="G13" s="13">
        <v>0</v>
      </c>
      <c r="H13" s="13">
        <v>0</v>
      </c>
      <c r="I13" s="13">
        <v>0</v>
      </c>
      <c r="J13" s="13">
        <v>0</v>
      </c>
      <c r="K13" s="13">
        <v>0</v>
      </c>
      <c r="L13" s="13">
        <v>0</v>
      </c>
    </row>
    <row r="14" spans="1:12" x14ac:dyDescent="0.2">
      <c r="A14" t="s">
        <v>20</v>
      </c>
      <c r="B14" t="s">
        <v>21</v>
      </c>
      <c r="C14" s="13">
        <v>0</v>
      </c>
      <c r="D14" s="13">
        <v>0</v>
      </c>
      <c r="E14" s="13">
        <v>0</v>
      </c>
      <c r="F14" s="13">
        <v>0</v>
      </c>
      <c r="G14" s="13">
        <v>0</v>
      </c>
      <c r="H14" s="13">
        <v>0</v>
      </c>
      <c r="I14" s="13">
        <v>0</v>
      </c>
      <c r="J14" s="13">
        <v>0</v>
      </c>
      <c r="K14" s="13">
        <v>0</v>
      </c>
      <c r="L14" s="13">
        <v>0</v>
      </c>
    </row>
    <row r="15" spans="1:12" x14ac:dyDescent="0.2">
      <c r="A15" t="s">
        <v>22</v>
      </c>
      <c r="B15" t="s">
        <v>144</v>
      </c>
      <c r="C15" s="13">
        <v>0</v>
      </c>
      <c r="D15" s="13">
        <v>0</v>
      </c>
      <c r="E15" s="13">
        <v>0</v>
      </c>
      <c r="F15" s="13">
        <v>0</v>
      </c>
      <c r="G15" s="13">
        <v>0</v>
      </c>
      <c r="H15" s="13">
        <v>0</v>
      </c>
      <c r="I15" s="13">
        <v>0</v>
      </c>
      <c r="J15" s="13">
        <v>0</v>
      </c>
      <c r="K15" s="13">
        <v>0</v>
      </c>
      <c r="L15" s="13">
        <v>0</v>
      </c>
    </row>
    <row r="16" spans="1:12" x14ac:dyDescent="0.2">
      <c r="A16" t="s">
        <v>24</v>
      </c>
      <c r="B16" t="s">
        <v>23</v>
      </c>
      <c r="C16" s="13">
        <v>0</v>
      </c>
      <c r="D16" s="13">
        <v>0</v>
      </c>
      <c r="E16" s="13">
        <v>0</v>
      </c>
      <c r="F16" s="13">
        <v>0</v>
      </c>
      <c r="G16" s="13">
        <v>0</v>
      </c>
      <c r="H16" s="13">
        <v>0</v>
      </c>
      <c r="I16" s="13">
        <v>0</v>
      </c>
      <c r="J16" s="13">
        <v>0</v>
      </c>
      <c r="K16" s="13">
        <v>0</v>
      </c>
      <c r="L16" s="13">
        <v>0</v>
      </c>
    </row>
    <row r="17" spans="1:12" x14ac:dyDescent="0.2">
      <c r="A17" t="s">
        <v>26</v>
      </c>
      <c r="B17" t="s">
        <v>25</v>
      </c>
      <c r="C17" s="13">
        <v>0</v>
      </c>
      <c r="D17" s="13">
        <v>0</v>
      </c>
      <c r="E17" s="13">
        <v>0</v>
      </c>
      <c r="F17" s="13">
        <v>0</v>
      </c>
      <c r="G17" s="13">
        <v>0</v>
      </c>
      <c r="H17" s="13">
        <v>0</v>
      </c>
      <c r="I17" s="13">
        <v>0</v>
      </c>
      <c r="J17" s="13">
        <v>0</v>
      </c>
      <c r="K17" s="13">
        <v>0</v>
      </c>
      <c r="L17" s="13">
        <v>0</v>
      </c>
    </row>
    <row r="18" spans="1:12" x14ac:dyDescent="0.2">
      <c r="A18" t="s">
        <v>27</v>
      </c>
      <c r="B18" s="6" t="s">
        <v>140</v>
      </c>
      <c r="C18" s="13">
        <v>0</v>
      </c>
      <c r="D18" s="13">
        <v>0</v>
      </c>
      <c r="E18" s="13">
        <v>0</v>
      </c>
      <c r="F18" s="13">
        <v>0</v>
      </c>
      <c r="G18" s="13">
        <v>0</v>
      </c>
      <c r="H18" s="13">
        <v>0</v>
      </c>
      <c r="I18" s="13">
        <v>0</v>
      </c>
      <c r="J18" s="13">
        <v>0</v>
      </c>
      <c r="K18" s="13">
        <v>0</v>
      </c>
      <c r="L18" s="13">
        <v>0</v>
      </c>
    </row>
    <row r="19" spans="1:12" x14ac:dyDescent="0.2">
      <c r="A19" t="s">
        <v>29</v>
      </c>
      <c r="B19" t="s">
        <v>28</v>
      </c>
      <c r="C19" s="13">
        <v>0</v>
      </c>
      <c r="D19" s="13">
        <v>0</v>
      </c>
      <c r="E19" s="13">
        <v>0</v>
      </c>
      <c r="F19" s="13">
        <v>0</v>
      </c>
      <c r="G19" s="13">
        <v>0</v>
      </c>
      <c r="H19" s="13">
        <v>0</v>
      </c>
      <c r="I19" s="13">
        <v>0</v>
      </c>
      <c r="J19" s="13">
        <v>0</v>
      </c>
      <c r="K19" s="13">
        <v>0</v>
      </c>
      <c r="L19" s="13">
        <v>0</v>
      </c>
    </row>
    <row r="20" spans="1:12" x14ac:dyDescent="0.2">
      <c r="A20" t="s">
        <v>31</v>
      </c>
      <c r="B20" t="s">
        <v>30</v>
      </c>
      <c r="C20" s="13">
        <v>0</v>
      </c>
      <c r="D20" s="13">
        <v>0</v>
      </c>
      <c r="E20" s="13">
        <v>0</v>
      </c>
      <c r="F20" s="13">
        <v>0</v>
      </c>
      <c r="G20" s="13">
        <v>0</v>
      </c>
      <c r="H20" s="13">
        <v>0</v>
      </c>
      <c r="I20" s="13">
        <v>0</v>
      </c>
      <c r="J20" s="13">
        <v>0</v>
      </c>
      <c r="K20" s="13">
        <v>0</v>
      </c>
      <c r="L20" s="13">
        <v>0</v>
      </c>
    </row>
    <row r="21" spans="1:12" x14ac:dyDescent="0.2">
      <c r="A21" t="s">
        <v>33</v>
      </c>
      <c r="B21" t="s">
        <v>32</v>
      </c>
      <c r="C21" s="13">
        <v>0</v>
      </c>
      <c r="D21" s="13">
        <v>0</v>
      </c>
      <c r="E21" s="13">
        <v>0</v>
      </c>
      <c r="F21" s="13">
        <v>0</v>
      </c>
      <c r="G21" s="13">
        <v>0</v>
      </c>
      <c r="H21" s="13">
        <v>0</v>
      </c>
      <c r="I21" s="13">
        <v>0</v>
      </c>
      <c r="J21" s="13">
        <v>0</v>
      </c>
      <c r="K21" s="13">
        <v>0</v>
      </c>
      <c r="L21" s="13">
        <v>0</v>
      </c>
    </row>
    <row r="22" spans="1:12" x14ac:dyDescent="0.2">
      <c r="A22" t="s">
        <v>35</v>
      </c>
      <c r="B22" t="s">
        <v>34</v>
      </c>
      <c r="C22" s="13">
        <v>0</v>
      </c>
      <c r="D22" s="13">
        <v>0</v>
      </c>
      <c r="E22" s="13">
        <v>0</v>
      </c>
      <c r="F22" s="13">
        <v>0</v>
      </c>
      <c r="G22" s="13">
        <v>0</v>
      </c>
      <c r="H22" s="13">
        <v>0</v>
      </c>
      <c r="I22" s="13">
        <v>0</v>
      </c>
      <c r="J22" s="13">
        <v>0</v>
      </c>
      <c r="K22" s="13">
        <v>0</v>
      </c>
      <c r="L22" s="13">
        <v>0</v>
      </c>
    </row>
    <row r="23" spans="1:12" x14ac:dyDescent="0.2">
      <c r="A23" t="s">
        <v>37</v>
      </c>
      <c r="B23" t="s">
        <v>36</v>
      </c>
      <c r="C23" s="13">
        <v>0</v>
      </c>
      <c r="D23" s="13">
        <v>0</v>
      </c>
      <c r="E23" s="13">
        <v>0</v>
      </c>
      <c r="F23" s="13">
        <v>0</v>
      </c>
      <c r="G23" s="13">
        <v>0</v>
      </c>
      <c r="H23" s="13">
        <v>0</v>
      </c>
      <c r="I23" s="13">
        <v>0</v>
      </c>
      <c r="J23" s="13">
        <v>0</v>
      </c>
      <c r="K23" s="13">
        <v>0</v>
      </c>
      <c r="L23" s="13">
        <v>0</v>
      </c>
    </row>
    <row r="24" spans="1:12" x14ac:dyDescent="0.2">
      <c r="A24" t="s">
        <v>39</v>
      </c>
      <c r="B24" t="s">
        <v>38</v>
      </c>
      <c r="C24" s="13">
        <v>0</v>
      </c>
      <c r="D24" s="13">
        <v>0</v>
      </c>
      <c r="E24" s="13">
        <v>0</v>
      </c>
      <c r="F24" s="13">
        <v>0</v>
      </c>
      <c r="G24" s="13">
        <v>0</v>
      </c>
      <c r="H24" s="13">
        <v>0</v>
      </c>
      <c r="I24" s="13">
        <v>0</v>
      </c>
      <c r="J24" s="13">
        <v>0</v>
      </c>
      <c r="K24" s="13">
        <v>0</v>
      </c>
      <c r="L24" s="13">
        <v>0</v>
      </c>
    </row>
    <row r="25" spans="1:12" x14ac:dyDescent="0.2">
      <c r="A25" t="s">
        <v>41</v>
      </c>
      <c r="B25" t="s">
        <v>40</v>
      </c>
      <c r="C25" s="13">
        <v>0.1</v>
      </c>
      <c r="D25" s="13">
        <v>0.1</v>
      </c>
      <c r="E25" s="13">
        <v>0.1</v>
      </c>
      <c r="F25" s="13">
        <v>0.1</v>
      </c>
      <c r="G25" s="13">
        <v>0.1</v>
      </c>
      <c r="H25" s="13">
        <v>0.1</v>
      </c>
      <c r="I25" s="13">
        <v>0.1</v>
      </c>
      <c r="J25" s="13">
        <v>0.1</v>
      </c>
      <c r="K25" s="13">
        <v>0.1</v>
      </c>
      <c r="L25" s="13">
        <v>0.1</v>
      </c>
    </row>
    <row r="26" spans="1:12" x14ac:dyDescent="0.2">
      <c r="A26" t="s">
        <v>43</v>
      </c>
      <c r="B26" t="s">
        <v>42</v>
      </c>
      <c r="C26" s="13">
        <v>0.1</v>
      </c>
      <c r="D26" s="13">
        <v>0.1</v>
      </c>
      <c r="E26" s="13">
        <v>0.1</v>
      </c>
      <c r="F26" s="13">
        <v>0.1</v>
      </c>
      <c r="G26" s="13">
        <v>0.1</v>
      </c>
      <c r="H26" s="13">
        <v>0.1</v>
      </c>
      <c r="I26" s="13">
        <v>0.1</v>
      </c>
      <c r="J26" s="13">
        <v>0.1</v>
      </c>
      <c r="K26" s="13">
        <v>0.1</v>
      </c>
      <c r="L26" s="13">
        <v>0.1</v>
      </c>
    </row>
    <row r="27" spans="1:12" x14ac:dyDescent="0.2">
      <c r="A27" t="s">
        <v>45</v>
      </c>
      <c r="B27" t="s">
        <v>44</v>
      </c>
      <c r="C27" s="13">
        <v>0</v>
      </c>
      <c r="D27" s="13">
        <v>0</v>
      </c>
      <c r="E27" s="13">
        <v>0</v>
      </c>
      <c r="F27" s="13">
        <v>0</v>
      </c>
      <c r="G27" s="13">
        <v>0</v>
      </c>
      <c r="H27" s="13">
        <v>0</v>
      </c>
      <c r="I27" s="13">
        <v>0</v>
      </c>
      <c r="J27" s="13">
        <v>0</v>
      </c>
      <c r="K27" s="13">
        <v>0</v>
      </c>
      <c r="L27" s="13">
        <v>0</v>
      </c>
    </row>
    <row r="28" spans="1:12" x14ac:dyDescent="0.2">
      <c r="A28" t="s">
        <v>47</v>
      </c>
      <c r="B28" t="s">
        <v>46</v>
      </c>
      <c r="C28" s="13">
        <v>0</v>
      </c>
      <c r="D28" s="13">
        <v>0</v>
      </c>
      <c r="E28" s="13">
        <v>0</v>
      </c>
      <c r="F28" s="13">
        <v>0</v>
      </c>
      <c r="G28" s="13">
        <v>0</v>
      </c>
      <c r="H28" s="13">
        <v>0</v>
      </c>
      <c r="I28" s="13">
        <v>0</v>
      </c>
      <c r="J28" s="13">
        <v>0</v>
      </c>
      <c r="K28" s="13">
        <v>0</v>
      </c>
      <c r="L28" s="13">
        <v>0</v>
      </c>
    </row>
    <row r="29" spans="1:12" x14ac:dyDescent="0.2">
      <c r="A29" t="s">
        <v>49</v>
      </c>
      <c r="B29" t="s">
        <v>48</v>
      </c>
      <c r="C29" s="13">
        <v>0</v>
      </c>
      <c r="D29" s="13">
        <v>0</v>
      </c>
      <c r="E29" s="13">
        <v>0</v>
      </c>
      <c r="F29" s="13">
        <v>0</v>
      </c>
      <c r="G29" s="13">
        <v>0</v>
      </c>
      <c r="H29" s="13">
        <v>0</v>
      </c>
      <c r="I29" s="13">
        <v>0</v>
      </c>
      <c r="J29" s="13">
        <v>0</v>
      </c>
      <c r="K29" s="13">
        <v>0</v>
      </c>
      <c r="L29" s="13">
        <v>0</v>
      </c>
    </row>
    <row r="30" spans="1:12" x14ac:dyDescent="0.2">
      <c r="A30" t="s">
        <v>51</v>
      </c>
      <c r="B30" t="s">
        <v>50</v>
      </c>
      <c r="C30" s="13">
        <v>0.4</v>
      </c>
      <c r="D30" s="13">
        <v>0.3</v>
      </c>
      <c r="E30" s="13">
        <v>0.2</v>
      </c>
      <c r="F30" s="13">
        <v>0.2</v>
      </c>
      <c r="G30" s="13">
        <v>0.2</v>
      </c>
      <c r="H30" s="13">
        <v>0.2</v>
      </c>
      <c r="I30" s="13">
        <v>0.2</v>
      </c>
      <c r="J30" s="13">
        <v>0.2</v>
      </c>
      <c r="K30" s="13">
        <v>0.2</v>
      </c>
      <c r="L30" s="13">
        <v>0.2</v>
      </c>
    </row>
    <row r="31" spans="1:12" x14ac:dyDescent="0.2">
      <c r="A31" t="s">
        <v>53</v>
      </c>
      <c r="B31" t="s">
        <v>52</v>
      </c>
      <c r="C31" s="13">
        <v>0.4</v>
      </c>
      <c r="D31" s="13">
        <v>0.3</v>
      </c>
      <c r="E31" s="13">
        <v>0.2</v>
      </c>
      <c r="F31" s="13">
        <v>0.2</v>
      </c>
      <c r="G31" s="13">
        <v>0.2</v>
      </c>
      <c r="H31" s="13">
        <v>0.2</v>
      </c>
      <c r="I31" s="13">
        <v>0.1</v>
      </c>
      <c r="J31" s="13">
        <v>0.2</v>
      </c>
      <c r="K31" s="13">
        <v>0.2</v>
      </c>
      <c r="L31" s="13">
        <v>0.2</v>
      </c>
    </row>
    <row r="32" spans="1:12" x14ac:dyDescent="0.2">
      <c r="A32" t="s">
        <v>55</v>
      </c>
      <c r="B32" t="s">
        <v>54</v>
      </c>
      <c r="C32" s="13">
        <v>0</v>
      </c>
      <c r="D32" s="13">
        <v>0</v>
      </c>
      <c r="E32" s="13">
        <v>0</v>
      </c>
      <c r="F32" s="13">
        <v>0</v>
      </c>
      <c r="G32" s="13">
        <v>0</v>
      </c>
      <c r="H32" s="13">
        <v>0</v>
      </c>
      <c r="I32" s="13">
        <v>0</v>
      </c>
      <c r="J32" s="13">
        <v>0</v>
      </c>
      <c r="K32" s="13">
        <v>0</v>
      </c>
      <c r="L32" s="13">
        <v>0</v>
      </c>
    </row>
    <row r="33" spans="1:12" x14ac:dyDescent="0.2">
      <c r="A33" t="s">
        <v>57</v>
      </c>
      <c r="B33" t="s">
        <v>56</v>
      </c>
      <c r="C33" s="13">
        <v>0</v>
      </c>
      <c r="D33" s="13">
        <v>0</v>
      </c>
      <c r="E33" s="13">
        <v>0</v>
      </c>
      <c r="F33" s="13">
        <v>0</v>
      </c>
      <c r="G33" s="13">
        <v>0</v>
      </c>
      <c r="H33" s="13">
        <v>0</v>
      </c>
      <c r="I33" s="13">
        <v>0</v>
      </c>
      <c r="J33" s="13">
        <v>0</v>
      </c>
      <c r="K33" s="13">
        <v>0</v>
      </c>
      <c r="L33" s="13">
        <v>0</v>
      </c>
    </row>
    <row r="34" spans="1:12" x14ac:dyDescent="0.2">
      <c r="A34" t="s">
        <v>59</v>
      </c>
      <c r="B34" t="s">
        <v>58</v>
      </c>
      <c r="C34" s="13">
        <v>0.1</v>
      </c>
      <c r="D34" s="13">
        <v>0.1</v>
      </c>
      <c r="E34" s="13">
        <v>0.1</v>
      </c>
      <c r="F34" s="13">
        <v>0.1</v>
      </c>
      <c r="G34" s="13">
        <v>0</v>
      </c>
      <c r="H34" s="13">
        <v>0</v>
      </c>
      <c r="I34" s="13">
        <v>0</v>
      </c>
      <c r="J34" s="13">
        <v>0.1</v>
      </c>
      <c r="K34" s="13">
        <v>0.1</v>
      </c>
      <c r="L34" s="13">
        <v>0</v>
      </c>
    </row>
    <row r="35" spans="1:12" x14ac:dyDescent="0.2">
      <c r="A35" t="s">
        <v>61</v>
      </c>
      <c r="B35" t="s">
        <v>60</v>
      </c>
      <c r="C35" s="13">
        <v>0.1</v>
      </c>
      <c r="D35" s="13">
        <v>0.1</v>
      </c>
      <c r="E35" s="13">
        <v>0.1</v>
      </c>
      <c r="F35" s="13">
        <v>0.1</v>
      </c>
      <c r="G35" s="13">
        <v>0</v>
      </c>
      <c r="H35" s="13">
        <v>0</v>
      </c>
      <c r="I35" s="13">
        <v>0</v>
      </c>
      <c r="J35" s="13">
        <v>0.1</v>
      </c>
      <c r="K35" s="13">
        <v>0.1</v>
      </c>
      <c r="L35" s="13">
        <v>0</v>
      </c>
    </row>
    <row r="36" spans="1:12" ht="14.25" x14ac:dyDescent="0.2">
      <c r="A36" t="s">
        <v>63</v>
      </c>
      <c r="B36" s="6" t="s">
        <v>157</v>
      </c>
      <c r="C36" s="16" t="s">
        <v>163</v>
      </c>
      <c r="D36" s="16" t="s">
        <v>163</v>
      </c>
      <c r="E36" s="13">
        <v>0</v>
      </c>
      <c r="F36" s="13">
        <v>0</v>
      </c>
      <c r="G36" s="13">
        <v>0</v>
      </c>
      <c r="H36" s="13">
        <v>0</v>
      </c>
      <c r="I36" s="13">
        <v>0</v>
      </c>
      <c r="J36" s="13">
        <v>0</v>
      </c>
      <c r="K36" s="13">
        <v>0</v>
      </c>
      <c r="L36" s="13">
        <v>0</v>
      </c>
    </row>
    <row r="37" spans="1:12" x14ac:dyDescent="0.2">
      <c r="A37" t="s">
        <v>64</v>
      </c>
      <c r="B37" t="s">
        <v>62</v>
      </c>
      <c r="C37" s="13">
        <v>0</v>
      </c>
      <c r="D37" s="13">
        <v>0</v>
      </c>
      <c r="E37" s="13">
        <v>0</v>
      </c>
      <c r="F37" s="13">
        <v>0</v>
      </c>
      <c r="G37" s="13">
        <v>0</v>
      </c>
      <c r="H37" s="13">
        <v>0</v>
      </c>
      <c r="I37" s="13">
        <v>0</v>
      </c>
      <c r="J37" s="13">
        <v>0</v>
      </c>
      <c r="K37" s="13">
        <v>0</v>
      </c>
      <c r="L37" s="13">
        <v>0</v>
      </c>
    </row>
    <row r="38" spans="1:12" ht="14.25" x14ac:dyDescent="0.2">
      <c r="A38" t="s">
        <v>66</v>
      </c>
      <c r="B38" s="6" t="s">
        <v>156</v>
      </c>
      <c r="C38" s="13">
        <v>0</v>
      </c>
      <c r="D38" s="13">
        <v>0</v>
      </c>
      <c r="E38" s="13">
        <v>0</v>
      </c>
      <c r="F38" s="13">
        <v>0</v>
      </c>
      <c r="G38" s="13">
        <v>0</v>
      </c>
      <c r="H38" s="13">
        <v>0</v>
      </c>
      <c r="I38" s="13">
        <v>0</v>
      </c>
      <c r="J38" s="13">
        <v>0</v>
      </c>
      <c r="K38" s="13">
        <v>0</v>
      </c>
      <c r="L38" s="13">
        <v>0</v>
      </c>
    </row>
    <row r="39" spans="1:12" x14ac:dyDescent="0.2">
      <c r="A39" t="s">
        <v>68</v>
      </c>
      <c r="B39" t="s">
        <v>65</v>
      </c>
      <c r="C39" s="13">
        <v>0</v>
      </c>
      <c r="D39" s="13">
        <v>0</v>
      </c>
      <c r="E39" s="13">
        <v>0</v>
      </c>
      <c r="F39" s="13">
        <v>0</v>
      </c>
      <c r="G39" s="13">
        <v>0</v>
      </c>
      <c r="H39" s="13">
        <v>0</v>
      </c>
      <c r="I39" s="13">
        <v>0</v>
      </c>
      <c r="J39" s="13">
        <v>0</v>
      </c>
      <c r="K39" s="13">
        <v>0</v>
      </c>
      <c r="L39" s="13">
        <v>0</v>
      </c>
    </row>
    <row r="40" spans="1:12" x14ac:dyDescent="0.2">
      <c r="A40" t="s">
        <v>70</v>
      </c>
      <c r="B40" t="s">
        <v>67</v>
      </c>
      <c r="C40" s="13">
        <v>0</v>
      </c>
      <c r="D40" s="13">
        <v>0</v>
      </c>
      <c r="E40" s="13">
        <v>0</v>
      </c>
      <c r="F40" s="13">
        <v>0</v>
      </c>
      <c r="G40" s="13">
        <v>0</v>
      </c>
      <c r="H40" s="13">
        <v>0</v>
      </c>
      <c r="I40" s="13">
        <v>0</v>
      </c>
      <c r="J40" s="13">
        <v>0</v>
      </c>
      <c r="K40" s="13">
        <v>0</v>
      </c>
      <c r="L40" s="13">
        <v>0</v>
      </c>
    </row>
    <row r="41" spans="1:12" x14ac:dyDescent="0.2">
      <c r="A41" t="s">
        <v>71</v>
      </c>
      <c r="B41" t="s">
        <v>69</v>
      </c>
      <c r="C41" s="13">
        <v>0</v>
      </c>
      <c r="D41" s="13">
        <v>0</v>
      </c>
      <c r="E41" s="13">
        <v>0</v>
      </c>
      <c r="F41" s="13">
        <v>0</v>
      </c>
      <c r="G41" s="13">
        <v>0</v>
      </c>
      <c r="H41" s="13">
        <v>0</v>
      </c>
      <c r="I41" s="13">
        <v>0</v>
      </c>
      <c r="J41" s="13">
        <v>0</v>
      </c>
      <c r="K41" s="13">
        <v>0</v>
      </c>
      <c r="L41" s="13">
        <v>0</v>
      </c>
    </row>
    <row r="42" spans="1:12" ht="14.25" x14ac:dyDescent="0.2">
      <c r="A42" t="s">
        <v>73</v>
      </c>
      <c r="B42" s="6" t="s">
        <v>155</v>
      </c>
      <c r="C42" s="13">
        <v>0</v>
      </c>
      <c r="D42" s="13">
        <v>0</v>
      </c>
      <c r="E42" s="13">
        <v>0</v>
      </c>
      <c r="F42" s="13">
        <v>0</v>
      </c>
      <c r="G42" s="13">
        <v>0</v>
      </c>
      <c r="H42" s="13">
        <v>0</v>
      </c>
      <c r="I42" s="13">
        <v>0</v>
      </c>
      <c r="J42" s="13">
        <v>0</v>
      </c>
      <c r="K42" s="13">
        <v>0</v>
      </c>
      <c r="L42" s="13">
        <v>0</v>
      </c>
    </row>
    <row r="43" spans="1:12" x14ac:dyDescent="0.2">
      <c r="A43" t="s">
        <v>75</v>
      </c>
      <c r="B43" t="s">
        <v>72</v>
      </c>
      <c r="C43" s="13">
        <v>0</v>
      </c>
      <c r="D43" s="13">
        <v>0</v>
      </c>
      <c r="E43" s="13">
        <v>0</v>
      </c>
      <c r="F43" s="13">
        <v>0</v>
      </c>
      <c r="G43" s="13">
        <v>0</v>
      </c>
      <c r="H43" s="13">
        <v>0</v>
      </c>
      <c r="I43" s="13">
        <v>0</v>
      </c>
      <c r="J43" s="13">
        <v>0</v>
      </c>
      <c r="K43" s="13">
        <v>0</v>
      </c>
      <c r="L43" s="13">
        <v>0</v>
      </c>
    </row>
    <row r="44" spans="1:12" x14ac:dyDescent="0.2">
      <c r="A44" t="s">
        <v>77</v>
      </c>
      <c r="B44" t="s">
        <v>74</v>
      </c>
      <c r="C44" s="13">
        <v>0</v>
      </c>
      <c r="D44" s="13">
        <v>0</v>
      </c>
      <c r="E44" s="13">
        <v>0</v>
      </c>
      <c r="F44" s="13">
        <v>0</v>
      </c>
      <c r="G44" s="13">
        <v>0</v>
      </c>
      <c r="H44" s="13">
        <v>0</v>
      </c>
      <c r="I44" s="13">
        <v>0</v>
      </c>
      <c r="J44" s="13">
        <v>0</v>
      </c>
      <c r="K44" s="13">
        <v>0</v>
      </c>
      <c r="L44" s="13">
        <v>0</v>
      </c>
    </row>
    <row r="45" spans="1:12" x14ac:dyDescent="0.2">
      <c r="A45" t="s">
        <v>79</v>
      </c>
      <c r="B45" t="s">
        <v>76</v>
      </c>
      <c r="C45" s="13">
        <v>0</v>
      </c>
      <c r="D45" s="13">
        <v>0</v>
      </c>
      <c r="E45" s="13">
        <v>0</v>
      </c>
      <c r="F45" s="13">
        <v>0</v>
      </c>
      <c r="G45" s="13">
        <v>0</v>
      </c>
      <c r="H45" s="13">
        <v>0</v>
      </c>
      <c r="I45" s="13">
        <v>0</v>
      </c>
      <c r="J45" s="13">
        <v>0</v>
      </c>
      <c r="K45" s="13">
        <v>0</v>
      </c>
      <c r="L45" s="13">
        <v>0</v>
      </c>
    </row>
    <row r="46" spans="1:12" x14ac:dyDescent="0.2">
      <c r="A46" t="s">
        <v>81</v>
      </c>
      <c r="B46" t="s">
        <v>78</v>
      </c>
      <c r="C46" s="13">
        <v>0</v>
      </c>
      <c r="D46" s="13">
        <v>0</v>
      </c>
      <c r="E46" s="13">
        <v>0</v>
      </c>
      <c r="F46" s="13">
        <v>0</v>
      </c>
      <c r="G46" s="13">
        <v>0</v>
      </c>
      <c r="H46" s="13">
        <v>0</v>
      </c>
      <c r="I46" s="13">
        <v>0</v>
      </c>
      <c r="J46" s="13">
        <v>0</v>
      </c>
      <c r="K46" s="13">
        <v>0</v>
      </c>
      <c r="L46" s="13">
        <v>0</v>
      </c>
    </row>
    <row r="47" spans="1:12" x14ac:dyDescent="0.2">
      <c r="A47" t="s">
        <v>83</v>
      </c>
      <c r="B47" t="s">
        <v>80</v>
      </c>
      <c r="C47" s="13">
        <v>0</v>
      </c>
      <c r="D47" s="13">
        <v>0</v>
      </c>
      <c r="E47" s="13">
        <v>0</v>
      </c>
      <c r="F47" s="13">
        <v>0</v>
      </c>
      <c r="G47" s="13">
        <v>0</v>
      </c>
      <c r="H47" s="13">
        <v>0</v>
      </c>
      <c r="I47" s="13">
        <v>0</v>
      </c>
      <c r="J47" s="13">
        <v>0</v>
      </c>
      <c r="K47" s="13">
        <v>0</v>
      </c>
      <c r="L47" s="13">
        <v>0</v>
      </c>
    </row>
    <row r="48" spans="1:12" x14ac:dyDescent="0.2">
      <c r="A48" t="s">
        <v>85</v>
      </c>
      <c r="B48" t="s">
        <v>82</v>
      </c>
      <c r="C48" s="13">
        <v>0.6</v>
      </c>
      <c r="D48" s="13">
        <v>0.6</v>
      </c>
      <c r="E48" s="13">
        <v>0.6</v>
      </c>
      <c r="F48" s="13">
        <v>0.6</v>
      </c>
      <c r="G48" s="13">
        <v>0.6</v>
      </c>
      <c r="H48" s="13">
        <v>0.6</v>
      </c>
      <c r="I48" s="13">
        <v>0.5</v>
      </c>
      <c r="J48" s="13">
        <v>0.6</v>
      </c>
      <c r="K48" s="13">
        <v>0.6</v>
      </c>
      <c r="L48" s="13">
        <v>0.6</v>
      </c>
    </row>
    <row r="49" spans="1:12" x14ac:dyDescent="0.2">
      <c r="A49" t="s">
        <v>87</v>
      </c>
      <c r="B49" t="s">
        <v>84</v>
      </c>
      <c r="C49" s="13">
        <v>0</v>
      </c>
      <c r="D49" s="13">
        <v>0</v>
      </c>
      <c r="E49" s="13">
        <v>0</v>
      </c>
      <c r="F49" s="13">
        <v>0</v>
      </c>
      <c r="G49" s="13">
        <v>0</v>
      </c>
      <c r="H49" s="13">
        <v>0</v>
      </c>
      <c r="I49" s="13">
        <v>0</v>
      </c>
      <c r="J49" s="13">
        <v>0</v>
      </c>
      <c r="K49" s="13">
        <v>0</v>
      </c>
      <c r="L49" s="13">
        <v>0.1</v>
      </c>
    </row>
    <row r="50" spans="1:12" x14ac:dyDescent="0.2">
      <c r="A50" t="s">
        <v>89</v>
      </c>
      <c r="B50" t="s">
        <v>86</v>
      </c>
      <c r="C50" s="13">
        <v>0</v>
      </c>
      <c r="D50" s="13">
        <v>0</v>
      </c>
      <c r="E50" s="13">
        <v>0</v>
      </c>
      <c r="F50" s="13">
        <v>0</v>
      </c>
      <c r="G50" s="13">
        <v>0</v>
      </c>
      <c r="H50" s="13">
        <v>0</v>
      </c>
      <c r="I50" s="13">
        <v>0</v>
      </c>
      <c r="J50" s="13">
        <v>0</v>
      </c>
      <c r="K50" s="13">
        <v>0</v>
      </c>
      <c r="L50" s="13">
        <v>0</v>
      </c>
    </row>
    <row r="51" spans="1:12" x14ac:dyDescent="0.2">
      <c r="A51" t="s">
        <v>91</v>
      </c>
      <c r="B51" t="s">
        <v>88</v>
      </c>
      <c r="C51" s="13">
        <v>0</v>
      </c>
      <c r="D51" s="13">
        <v>0</v>
      </c>
      <c r="E51" s="13">
        <v>0</v>
      </c>
      <c r="F51" s="13">
        <v>0</v>
      </c>
      <c r="G51" s="13">
        <v>0</v>
      </c>
      <c r="H51" s="13">
        <v>0</v>
      </c>
      <c r="I51" s="13">
        <v>0</v>
      </c>
      <c r="J51" s="13">
        <v>0</v>
      </c>
      <c r="K51" s="13">
        <v>0</v>
      </c>
      <c r="L51" s="13">
        <v>0</v>
      </c>
    </row>
    <row r="52" spans="1:12" x14ac:dyDescent="0.2">
      <c r="A52" t="s">
        <v>93</v>
      </c>
      <c r="B52" t="s">
        <v>90</v>
      </c>
      <c r="C52" s="13">
        <v>0</v>
      </c>
      <c r="D52" s="13">
        <v>0</v>
      </c>
      <c r="E52" s="13">
        <v>0</v>
      </c>
      <c r="F52" s="13">
        <v>0</v>
      </c>
      <c r="G52" s="13">
        <v>0</v>
      </c>
      <c r="H52" s="13">
        <v>0</v>
      </c>
      <c r="I52" s="13">
        <v>0</v>
      </c>
      <c r="J52" s="13">
        <v>0</v>
      </c>
      <c r="K52" s="13">
        <v>0</v>
      </c>
      <c r="L52" s="13">
        <v>0</v>
      </c>
    </row>
    <row r="53" spans="1:12" x14ac:dyDescent="0.2">
      <c r="A53" t="s">
        <v>95</v>
      </c>
      <c r="B53" t="s">
        <v>92</v>
      </c>
      <c r="C53" s="13">
        <v>0.1</v>
      </c>
      <c r="D53" s="13">
        <v>0.1</v>
      </c>
      <c r="E53" s="13">
        <v>0.1</v>
      </c>
      <c r="F53" s="13">
        <v>0.1</v>
      </c>
      <c r="G53" s="13">
        <v>0.1</v>
      </c>
      <c r="H53" s="13">
        <v>0.1</v>
      </c>
      <c r="I53" s="13">
        <v>0.1</v>
      </c>
      <c r="J53" s="13">
        <v>0.1</v>
      </c>
      <c r="K53" s="13">
        <v>0.1</v>
      </c>
      <c r="L53" s="13">
        <v>0.1</v>
      </c>
    </row>
    <row r="54" spans="1:12" x14ac:dyDescent="0.2">
      <c r="A54" t="s">
        <v>97</v>
      </c>
      <c r="B54" t="s">
        <v>94</v>
      </c>
      <c r="C54" s="13">
        <v>0</v>
      </c>
      <c r="D54" s="13">
        <v>0</v>
      </c>
      <c r="E54" s="13">
        <v>0</v>
      </c>
      <c r="F54" s="13">
        <v>0</v>
      </c>
      <c r="G54" s="13">
        <v>0</v>
      </c>
      <c r="H54" s="13">
        <v>0</v>
      </c>
      <c r="I54" s="13">
        <v>0</v>
      </c>
      <c r="J54" s="13">
        <v>0</v>
      </c>
      <c r="K54" s="13">
        <v>0</v>
      </c>
      <c r="L54" s="13">
        <v>0</v>
      </c>
    </row>
    <row r="55" spans="1:12" x14ac:dyDescent="0.2">
      <c r="A55" t="s">
        <v>99</v>
      </c>
      <c r="B55" t="s">
        <v>96</v>
      </c>
      <c r="C55" s="13">
        <v>0</v>
      </c>
      <c r="D55" s="13">
        <v>0</v>
      </c>
      <c r="E55" s="13">
        <v>0</v>
      </c>
      <c r="F55" s="13">
        <v>0</v>
      </c>
      <c r="G55" s="13">
        <v>0</v>
      </c>
      <c r="H55" s="13">
        <v>0</v>
      </c>
      <c r="I55" s="13">
        <v>0</v>
      </c>
      <c r="J55" s="13">
        <v>0</v>
      </c>
      <c r="K55" s="13">
        <v>0</v>
      </c>
      <c r="L55" s="13">
        <v>0</v>
      </c>
    </row>
    <row r="56" spans="1:12" x14ac:dyDescent="0.2">
      <c r="A56" t="s">
        <v>101</v>
      </c>
      <c r="B56" t="s">
        <v>98</v>
      </c>
      <c r="C56" s="13">
        <v>0</v>
      </c>
      <c r="D56" s="13">
        <v>0</v>
      </c>
      <c r="E56" s="13">
        <v>0</v>
      </c>
      <c r="F56" s="13">
        <v>0</v>
      </c>
      <c r="G56" s="13">
        <v>0</v>
      </c>
      <c r="H56" s="13">
        <v>0</v>
      </c>
      <c r="I56" s="13">
        <v>0</v>
      </c>
      <c r="J56" s="13">
        <v>0</v>
      </c>
      <c r="K56" s="13">
        <v>0</v>
      </c>
      <c r="L56" s="13">
        <v>0</v>
      </c>
    </row>
    <row r="57" spans="1:12" x14ac:dyDescent="0.2">
      <c r="A57" t="s">
        <v>102</v>
      </c>
      <c r="B57" t="s">
        <v>100</v>
      </c>
      <c r="C57" s="13">
        <v>0</v>
      </c>
      <c r="D57" s="13">
        <v>0</v>
      </c>
      <c r="E57" s="13">
        <v>0</v>
      </c>
      <c r="F57" s="13">
        <v>0</v>
      </c>
      <c r="G57" s="13">
        <v>0</v>
      </c>
      <c r="H57" s="13">
        <v>0</v>
      </c>
      <c r="I57" s="13">
        <v>0</v>
      </c>
      <c r="J57" s="13">
        <v>0</v>
      </c>
      <c r="K57" s="13">
        <v>0</v>
      </c>
      <c r="L57" s="13">
        <v>0</v>
      </c>
    </row>
    <row r="58" spans="1:12" ht="14.25" x14ac:dyDescent="0.2">
      <c r="A58" t="s">
        <v>103</v>
      </c>
      <c r="B58" s="6" t="s">
        <v>154</v>
      </c>
      <c r="C58" s="13">
        <v>0</v>
      </c>
      <c r="D58" s="13">
        <v>0</v>
      </c>
      <c r="E58" s="13">
        <v>0</v>
      </c>
      <c r="F58" s="13">
        <v>0</v>
      </c>
      <c r="G58" s="13">
        <v>0</v>
      </c>
      <c r="H58" s="13">
        <v>0</v>
      </c>
      <c r="I58" s="13">
        <v>0</v>
      </c>
      <c r="J58" s="13">
        <v>0</v>
      </c>
      <c r="K58" s="13">
        <v>0</v>
      </c>
      <c r="L58" s="13">
        <v>0</v>
      </c>
    </row>
    <row r="59" spans="1:12" ht="14.25" x14ac:dyDescent="0.2">
      <c r="A59" t="s">
        <v>105</v>
      </c>
      <c r="B59" s="6" t="s">
        <v>153</v>
      </c>
      <c r="C59" s="13">
        <v>0</v>
      </c>
      <c r="D59" s="13">
        <v>0</v>
      </c>
      <c r="E59" s="13">
        <v>0</v>
      </c>
      <c r="F59" s="13">
        <v>0</v>
      </c>
      <c r="G59" s="13">
        <v>0</v>
      </c>
      <c r="H59" s="13">
        <v>0</v>
      </c>
      <c r="I59" s="13">
        <v>0</v>
      </c>
      <c r="J59" s="13">
        <v>0</v>
      </c>
      <c r="K59" s="13">
        <v>0</v>
      </c>
      <c r="L59" s="13">
        <v>0</v>
      </c>
    </row>
    <row r="60" spans="1:12" x14ac:dyDescent="0.2">
      <c r="A60" t="s">
        <v>107</v>
      </c>
      <c r="B60" t="s">
        <v>104</v>
      </c>
      <c r="C60" s="13">
        <v>0.1</v>
      </c>
      <c r="D60" s="13">
        <v>0.1</v>
      </c>
      <c r="E60" s="13">
        <v>0.1</v>
      </c>
      <c r="F60" s="13">
        <v>0.1</v>
      </c>
      <c r="G60" s="13">
        <v>0.1</v>
      </c>
      <c r="H60" s="13">
        <v>0.1</v>
      </c>
      <c r="I60" s="13">
        <v>0.1</v>
      </c>
      <c r="J60" s="13">
        <v>0.1</v>
      </c>
      <c r="K60" s="13">
        <v>0.1</v>
      </c>
      <c r="L60" s="13">
        <v>0.1</v>
      </c>
    </row>
    <row r="61" spans="1:12" x14ac:dyDescent="0.2">
      <c r="A61" t="s">
        <v>109</v>
      </c>
      <c r="B61" t="s">
        <v>106</v>
      </c>
      <c r="C61" s="13">
        <v>0</v>
      </c>
      <c r="D61" s="13">
        <v>0</v>
      </c>
      <c r="E61" s="13">
        <v>0</v>
      </c>
      <c r="F61" s="13">
        <v>0</v>
      </c>
      <c r="G61" s="13">
        <v>0</v>
      </c>
      <c r="H61" s="13">
        <v>0</v>
      </c>
      <c r="I61" s="13">
        <v>0</v>
      </c>
      <c r="J61" s="13">
        <v>0</v>
      </c>
      <c r="K61" s="13">
        <v>0</v>
      </c>
      <c r="L61" s="13">
        <v>0</v>
      </c>
    </row>
    <row r="62" spans="1:12" x14ac:dyDescent="0.2">
      <c r="A62" t="s">
        <v>111</v>
      </c>
      <c r="B62" t="s">
        <v>108</v>
      </c>
      <c r="C62" s="13">
        <v>0</v>
      </c>
      <c r="D62" s="13">
        <v>0</v>
      </c>
      <c r="E62" s="13">
        <v>0</v>
      </c>
      <c r="F62" s="13">
        <v>0</v>
      </c>
      <c r="G62" s="13">
        <v>0</v>
      </c>
      <c r="H62" s="13">
        <v>0</v>
      </c>
      <c r="I62" s="13">
        <v>0</v>
      </c>
      <c r="J62" s="13">
        <v>0</v>
      </c>
      <c r="K62" s="13">
        <v>0</v>
      </c>
      <c r="L62" s="13">
        <v>0</v>
      </c>
    </row>
    <row r="63" spans="1:12" x14ac:dyDescent="0.2">
      <c r="A63" t="s">
        <v>113</v>
      </c>
      <c r="B63" t="s">
        <v>110</v>
      </c>
      <c r="C63" s="13">
        <v>0</v>
      </c>
      <c r="D63" s="13">
        <v>0</v>
      </c>
      <c r="E63" s="13">
        <v>0</v>
      </c>
      <c r="F63" s="13">
        <v>0</v>
      </c>
      <c r="G63" s="13">
        <v>0</v>
      </c>
      <c r="H63" s="13">
        <v>0</v>
      </c>
      <c r="I63" s="13">
        <v>0</v>
      </c>
      <c r="J63" s="13">
        <v>0</v>
      </c>
      <c r="K63" s="13">
        <v>0</v>
      </c>
      <c r="L63" s="13">
        <v>0</v>
      </c>
    </row>
    <row r="64" spans="1:12" x14ac:dyDescent="0.2">
      <c r="A64" t="s">
        <v>114</v>
      </c>
      <c r="B64" t="s">
        <v>112</v>
      </c>
      <c r="C64" s="13">
        <v>0</v>
      </c>
      <c r="D64" s="13">
        <v>0</v>
      </c>
      <c r="E64" s="13">
        <v>0</v>
      </c>
      <c r="F64" s="13">
        <v>0</v>
      </c>
      <c r="G64" s="13">
        <v>0</v>
      </c>
      <c r="H64" s="13">
        <v>0</v>
      </c>
      <c r="I64" s="13">
        <v>0</v>
      </c>
      <c r="J64" s="13">
        <v>0</v>
      </c>
      <c r="K64" s="13">
        <v>0</v>
      </c>
      <c r="L64" s="13">
        <v>0</v>
      </c>
    </row>
    <row r="65" spans="1:12" x14ac:dyDescent="0.2">
      <c r="A65" t="s">
        <v>116</v>
      </c>
      <c r="B65" s="6" t="s">
        <v>142</v>
      </c>
      <c r="C65" s="13">
        <v>0</v>
      </c>
      <c r="D65" s="13">
        <v>0</v>
      </c>
      <c r="E65" s="13">
        <v>0</v>
      </c>
      <c r="F65" s="13">
        <v>0</v>
      </c>
      <c r="G65" s="13">
        <v>0</v>
      </c>
      <c r="H65" s="13">
        <v>0</v>
      </c>
      <c r="I65" s="13">
        <v>0</v>
      </c>
      <c r="J65" s="13">
        <v>0</v>
      </c>
      <c r="K65" s="13">
        <v>0</v>
      </c>
      <c r="L65" s="13">
        <v>0</v>
      </c>
    </row>
    <row r="66" spans="1:12" x14ac:dyDescent="0.2">
      <c r="A66" t="s">
        <v>118</v>
      </c>
      <c r="B66" t="s">
        <v>115</v>
      </c>
      <c r="C66" s="13">
        <v>0</v>
      </c>
      <c r="D66" s="13">
        <v>0</v>
      </c>
      <c r="E66" s="13">
        <v>0</v>
      </c>
      <c r="F66" s="13">
        <v>0</v>
      </c>
      <c r="G66" s="13">
        <v>0</v>
      </c>
      <c r="H66" s="13">
        <v>0</v>
      </c>
      <c r="I66" s="13">
        <v>0</v>
      </c>
      <c r="J66" s="13">
        <v>0</v>
      </c>
      <c r="K66" s="13">
        <v>0</v>
      </c>
      <c r="L66" s="13">
        <v>0</v>
      </c>
    </row>
    <row r="67" spans="1:12" x14ac:dyDescent="0.2">
      <c r="A67" t="s">
        <v>120</v>
      </c>
      <c r="B67" t="s">
        <v>117</v>
      </c>
      <c r="C67" s="13">
        <v>0</v>
      </c>
      <c r="D67" s="13">
        <v>0</v>
      </c>
      <c r="E67" s="13">
        <v>0</v>
      </c>
      <c r="F67" s="13">
        <v>0</v>
      </c>
      <c r="G67" s="13">
        <v>0</v>
      </c>
      <c r="H67" s="13">
        <v>0</v>
      </c>
      <c r="I67" s="13">
        <v>0</v>
      </c>
      <c r="J67" s="13">
        <v>0</v>
      </c>
      <c r="K67" s="13">
        <v>0</v>
      </c>
      <c r="L67" s="13">
        <v>0</v>
      </c>
    </row>
    <row r="68" spans="1:12" x14ac:dyDescent="0.2">
      <c r="A68" t="s">
        <v>122</v>
      </c>
      <c r="B68" t="s">
        <v>119</v>
      </c>
      <c r="C68" s="13">
        <v>0.4</v>
      </c>
      <c r="D68" s="13">
        <v>0.4</v>
      </c>
      <c r="E68" s="13">
        <v>0.4</v>
      </c>
      <c r="F68" s="13">
        <v>0.4</v>
      </c>
      <c r="G68" s="13">
        <v>0.4</v>
      </c>
      <c r="H68" s="13">
        <v>0.4</v>
      </c>
      <c r="I68" s="13">
        <v>0.3</v>
      </c>
      <c r="J68" s="13">
        <v>0.4</v>
      </c>
      <c r="K68" s="13">
        <v>0.4</v>
      </c>
      <c r="L68" s="13">
        <v>0.4</v>
      </c>
    </row>
    <row r="69" spans="1:12" x14ac:dyDescent="0.2">
      <c r="A69" t="s">
        <v>124</v>
      </c>
      <c r="B69" t="s">
        <v>121</v>
      </c>
      <c r="C69" s="13">
        <v>0</v>
      </c>
      <c r="D69" s="13">
        <v>0.1</v>
      </c>
      <c r="E69" s="13">
        <v>0.1</v>
      </c>
      <c r="F69" s="13">
        <v>0.1</v>
      </c>
      <c r="G69" s="13">
        <v>0.1</v>
      </c>
      <c r="H69" s="13">
        <v>0.1</v>
      </c>
      <c r="I69" s="13">
        <v>0</v>
      </c>
      <c r="J69" s="13">
        <v>0</v>
      </c>
      <c r="K69" s="13">
        <v>0</v>
      </c>
      <c r="L69" s="13">
        <v>0.1</v>
      </c>
    </row>
    <row r="70" spans="1:12" x14ac:dyDescent="0.2">
      <c r="A70" t="s">
        <v>126</v>
      </c>
      <c r="B70" t="s">
        <v>123</v>
      </c>
      <c r="C70" s="13">
        <v>0.3</v>
      </c>
      <c r="D70" s="13">
        <v>0.3</v>
      </c>
      <c r="E70" s="13">
        <v>0.3</v>
      </c>
      <c r="F70" s="13">
        <v>0.3</v>
      </c>
      <c r="G70" s="13">
        <v>0.3</v>
      </c>
      <c r="H70" s="13">
        <v>0.3</v>
      </c>
      <c r="I70" s="13">
        <v>0.3</v>
      </c>
      <c r="J70" s="13">
        <v>0.3</v>
      </c>
      <c r="K70" s="13">
        <v>0.3</v>
      </c>
      <c r="L70" s="13">
        <v>0.3</v>
      </c>
    </row>
    <row r="71" spans="1:12" x14ac:dyDescent="0.2">
      <c r="A71" t="s">
        <v>128</v>
      </c>
      <c r="B71" t="s">
        <v>125</v>
      </c>
      <c r="C71" s="13">
        <v>0</v>
      </c>
      <c r="D71" s="13">
        <v>0</v>
      </c>
      <c r="E71" s="13">
        <v>0</v>
      </c>
      <c r="F71" s="13">
        <v>0</v>
      </c>
      <c r="G71" s="13">
        <v>0</v>
      </c>
      <c r="H71" s="13">
        <v>0</v>
      </c>
      <c r="I71" s="13">
        <v>0</v>
      </c>
      <c r="J71" s="13">
        <v>0</v>
      </c>
      <c r="K71" s="13">
        <v>0</v>
      </c>
      <c r="L71" s="13">
        <v>0</v>
      </c>
    </row>
    <row r="72" spans="1:12" x14ac:dyDescent="0.2">
      <c r="A72" t="s">
        <v>130</v>
      </c>
      <c r="B72" t="s">
        <v>127</v>
      </c>
      <c r="C72" s="13">
        <v>0.1</v>
      </c>
      <c r="D72" s="13">
        <v>0.1</v>
      </c>
      <c r="E72" s="13">
        <v>0.1</v>
      </c>
      <c r="F72" s="13">
        <v>0.1</v>
      </c>
      <c r="G72" s="13">
        <v>0.1</v>
      </c>
      <c r="H72" s="13">
        <v>0.1</v>
      </c>
      <c r="I72" s="13">
        <v>0</v>
      </c>
      <c r="J72" s="13">
        <v>0</v>
      </c>
      <c r="K72" s="13">
        <v>0.1</v>
      </c>
      <c r="L72" s="13">
        <v>0.1</v>
      </c>
    </row>
    <row r="73" spans="1:12" x14ac:dyDescent="0.2">
      <c r="A73" t="s">
        <v>132</v>
      </c>
      <c r="B73" t="s">
        <v>129</v>
      </c>
      <c r="C73" s="13">
        <v>0.7</v>
      </c>
      <c r="D73" s="13">
        <v>0.6</v>
      </c>
      <c r="E73" s="13">
        <v>0.6</v>
      </c>
      <c r="F73" s="13">
        <v>0.6</v>
      </c>
      <c r="G73" s="13">
        <v>0.6</v>
      </c>
      <c r="H73" s="13">
        <v>0.6</v>
      </c>
      <c r="I73" s="13">
        <v>0.6</v>
      </c>
      <c r="J73" s="13">
        <v>0.6</v>
      </c>
      <c r="K73" s="13">
        <v>0.6</v>
      </c>
      <c r="L73" s="13">
        <v>0.6</v>
      </c>
    </row>
    <row r="74" spans="1:12" x14ac:dyDescent="0.2">
      <c r="A74" t="s">
        <v>134</v>
      </c>
      <c r="B74" t="s">
        <v>131</v>
      </c>
      <c r="C74" s="13">
        <v>0.6</v>
      </c>
      <c r="D74" s="13">
        <v>0.6</v>
      </c>
      <c r="E74" s="13">
        <v>0.6</v>
      </c>
      <c r="F74" s="13">
        <v>0.6</v>
      </c>
      <c r="G74" s="13">
        <v>0.5</v>
      </c>
      <c r="H74" s="13">
        <v>0.5</v>
      </c>
      <c r="I74" s="13">
        <v>0.6</v>
      </c>
      <c r="J74" s="13">
        <v>0.6</v>
      </c>
      <c r="K74" s="13">
        <v>0.5</v>
      </c>
      <c r="L74" s="13">
        <v>0.5</v>
      </c>
    </row>
    <row r="75" spans="1:12" x14ac:dyDescent="0.2">
      <c r="A75" t="s">
        <v>145</v>
      </c>
      <c r="B75" t="s">
        <v>133</v>
      </c>
      <c r="C75" s="13">
        <v>0</v>
      </c>
      <c r="D75" s="13">
        <v>0</v>
      </c>
      <c r="E75" s="13">
        <v>0</v>
      </c>
      <c r="F75" s="13">
        <v>0</v>
      </c>
      <c r="G75" s="13">
        <v>0</v>
      </c>
      <c r="H75" s="13">
        <v>0</v>
      </c>
      <c r="I75" s="13">
        <v>0</v>
      </c>
      <c r="J75" s="13">
        <v>0</v>
      </c>
      <c r="K75" s="13">
        <v>0</v>
      </c>
      <c r="L75" s="13">
        <v>0</v>
      </c>
    </row>
    <row r="76" spans="1:12" x14ac:dyDescent="0.2">
      <c r="A76" s="7" t="s">
        <v>146</v>
      </c>
      <c r="B76" s="7" t="s">
        <v>135</v>
      </c>
      <c r="C76" s="12">
        <v>0</v>
      </c>
      <c r="D76" s="12">
        <v>0</v>
      </c>
      <c r="E76" s="12">
        <v>0</v>
      </c>
      <c r="F76" s="12">
        <v>0</v>
      </c>
      <c r="G76" s="12">
        <v>0</v>
      </c>
      <c r="H76" s="12">
        <v>0</v>
      </c>
      <c r="I76" s="12">
        <v>0</v>
      </c>
      <c r="J76" s="12">
        <v>0</v>
      </c>
      <c r="K76" s="12">
        <v>0</v>
      </c>
      <c r="L76" s="12">
        <v>0</v>
      </c>
    </row>
    <row r="77" spans="1:12" ht="12.95" customHeight="1" x14ac:dyDescent="0.2">
      <c r="A77" s="20" t="s">
        <v>162</v>
      </c>
      <c r="B77" s="21"/>
      <c r="C77" s="21"/>
      <c r="D77" s="21"/>
      <c r="E77" s="21"/>
      <c r="F77" s="21"/>
      <c r="G77" s="21"/>
      <c r="H77" s="21"/>
      <c r="I77" s="21"/>
      <c r="J77" s="21"/>
      <c r="K77" s="21"/>
      <c r="L77" s="21"/>
    </row>
    <row r="78" spans="1:12" s="6" customFormat="1" ht="27.95" customHeight="1" x14ac:dyDescent="0.2">
      <c r="A78" s="17" t="s">
        <v>152</v>
      </c>
      <c r="B78" s="17"/>
      <c r="C78" s="17"/>
      <c r="D78" s="17"/>
      <c r="E78" s="17"/>
      <c r="F78" s="17"/>
      <c r="G78" s="17"/>
      <c r="H78" s="17"/>
      <c r="I78" s="17"/>
      <c r="J78" s="17"/>
      <c r="K78" s="17"/>
      <c r="L78" s="17"/>
    </row>
    <row r="79" spans="1:12" s="6" customFormat="1" ht="27.95" customHeight="1" x14ac:dyDescent="0.2">
      <c r="A79" s="17" t="s">
        <v>151</v>
      </c>
      <c r="B79" s="17"/>
      <c r="C79" s="17"/>
      <c r="D79" s="17"/>
      <c r="E79" s="17"/>
      <c r="F79" s="17"/>
      <c r="G79" s="17"/>
      <c r="H79" s="17"/>
      <c r="I79" s="17"/>
      <c r="J79" s="17"/>
      <c r="K79" s="17"/>
      <c r="L79" s="17"/>
    </row>
    <row r="80" spans="1:12" s="6" customFormat="1" ht="12.95" customHeight="1" x14ac:dyDescent="0.2">
      <c r="A80" s="17" t="s">
        <v>150</v>
      </c>
      <c r="B80" s="17"/>
      <c r="C80" s="17"/>
      <c r="D80" s="17"/>
      <c r="E80" s="17"/>
      <c r="F80" s="17"/>
      <c r="G80" s="17"/>
      <c r="H80" s="17"/>
      <c r="I80" s="17"/>
      <c r="J80" s="17"/>
      <c r="K80" s="17"/>
      <c r="L80" s="17"/>
    </row>
    <row r="81" spans="1:12" s="6" customFormat="1" ht="12.95" customHeight="1" x14ac:dyDescent="0.2">
      <c r="A81" s="17" t="s">
        <v>149</v>
      </c>
      <c r="B81" s="17"/>
      <c r="C81" s="17"/>
      <c r="D81" s="17"/>
      <c r="E81" s="17"/>
      <c r="F81" s="17"/>
      <c r="G81" s="17"/>
      <c r="H81" s="17"/>
      <c r="I81" s="17"/>
      <c r="J81" s="17"/>
      <c r="K81" s="17"/>
      <c r="L81" s="17"/>
    </row>
    <row r="82" spans="1:12" s="6" customFormat="1" ht="24.95" customHeight="1" x14ac:dyDescent="0.2">
      <c r="A82" s="17"/>
      <c r="B82" s="17"/>
      <c r="C82" s="17"/>
      <c r="D82" s="17"/>
      <c r="E82" s="17"/>
      <c r="F82" s="17"/>
      <c r="G82" s="17"/>
      <c r="H82" s="17"/>
    </row>
  </sheetData>
  <mergeCells count="8">
    <mergeCell ref="A79:L79"/>
    <mergeCell ref="A80:L80"/>
    <mergeCell ref="A81:L81"/>
    <mergeCell ref="A1:L1"/>
    <mergeCell ref="A82:H82"/>
    <mergeCell ref="A2:H2"/>
    <mergeCell ref="A77:L77"/>
    <mergeCell ref="A78:L78"/>
  </mergeCells>
  <phoneticPr fontId="7" type="noConversion"/>
  <pageMargins left="0.75" right="0.75" top="1" bottom="1" header="0.5" footer="0.5"/>
  <pageSetup orientation="portrait" horizontalDpi="300" verticalDpi="300" r:id="rId1"/>
  <headerFooter alignWithMargins="0"/>
  <customProperties>
    <customPr name="SourceTableID"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6F25D-9CAA-4E0D-AC43-2BAF18012414}">
  <dimension ref="A1:L82"/>
  <sheetViews>
    <sheetView workbookViewId="0">
      <pane ySplit="3" topLeftCell="A4" activePane="bottomLeft" state="frozen"/>
      <selection sqref="A1:L1"/>
      <selection pane="bottomLeft" sqref="A1:L1"/>
    </sheetView>
  </sheetViews>
  <sheetFormatPr defaultRowHeight="12.75" x14ac:dyDescent="0.2"/>
  <cols>
    <col min="2" max="2" width="70.7109375" customWidth="1"/>
    <col min="3" max="12" width="9.7109375" customWidth="1"/>
  </cols>
  <sheetData>
    <row r="1" spans="1:12" ht="18" x14ac:dyDescent="0.25">
      <c r="A1" s="18" t="s">
        <v>159</v>
      </c>
      <c r="B1" s="18"/>
      <c r="C1" s="18"/>
      <c r="D1" s="18"/>
      <c r="E1" s="18"/>
      <c r="F1" s="18"/>
      <c r="G1" s="18"/>
      <c r="H1" s="18"/>
      <c r="I1" s="18"/>
      <c r="J1" s="18"/>
      <c r="K1" s="18"/>
      <c r="L1" s="18"/>
    </row>
    <row r="2" spans="1:12" ht="16.5" customHeight="1" x14ac:dyDescent="0.25">
      <c r="A2" s="19"/>
      <c r="B2" s="22"/>
      <c r="C2" s="22"/>
      <c r="D2" s="22"/>
      <c r="E2" s="22"/>
      <c r="F2" s="22"/>
      <c r="G2" s="22"/>
      <c r="H2" s="22"/>
    </row>
    <row r="3" spans="1:12" x14ac:dyDescent="0.2">
      <c r="A3" s="10" t="s">
        <v>0</v>
      </c>
      <c r="B3" s="10" t="s">
        <v>0</v>
      </c>
      <c r="C3" s="10">
        <v>2014</v>
      </c>
      <c r="D3" s="10">
        <v>2015</v>
      </c>
      <c r="E3" s="10">
        <v>2016</v>
      </c>
      <c r="F3" s="10">
        <v>2017</v>
      </c>
      <c r="G3" s="10">
        <v>2018</v>
      </c>
      <c r="H3" s="10">
        <v>2019</v>
      </c>
      <c r="I3" s="10">
        <v>2020</v>
      </c>
      <c r="J3" s="10">
        <v>2021</v>
      </c>
      <c r="K3" s="10">
        <v>2022</v>
      </c>
      <c r="L3" s="10">
        <v>2023</v>
      </c>
    </row>
    <row r="4" spans="1:12" x14ac:dyDescent="0.2">
      <c r="A4" s="1" t="s">
        <v>1</v>
      </c>
      <c r="B4" s="1" t="s">
        <v>141</v>
      </c>
      <c r="C4" s="1">
        <v>100</v>
      </c>
      <c r="D4" s="1">
        <v>100</v>
      </c>
      <c r="E4" s="1">
        <v>100</v>
      </c>
      <c r="F4" s="1">
        <v>100</v>
      </c>
      <c r="G4" s="1">
        <v>100</v>
      </c>
      <c r="H4" s="1">
        <v>100</v>
      </c>
      <c r="I4" s="1">
        <v>100</v>
      </c>
      <c r="J4" s="1">
        <v>100</v>
      </c>
      <c r="K4" s="1">
        <v>100</v>
      </c>
      <c r="L4" s="1">
        <v>100</v>
      </c>
    </row>
    <row r="5" spans="1:12" x14ac:dyDescent="0.2">
      <c r="A5" t="s">
        <v>2</v>
      </c>
      <c r="B5" t="s">
        <v>3</v>
      </c>
      <c r="C5" s="13">
        <v>3.2</v>
      </c>
      <c r="D5" s="13">
        <v>3.6</v>
      </c>
      <c r="E5" s="13">
        <v>3.9</v>
      </c>
      <c r="F5" s="13">
        <v>4.2</v>
      </c>
      <c r="G5" s="13">
        <v>4.2</v>
      </c>
      <c r="H5" s="13">
        <v>4.3</v>
      </c>
      <c r="I5" s="13">
        <v>5.0999999999999996</v>
      </c>
      <c r="J5" s="13">
        <v>5.3</v>
      </c>
      <c r="K5" s="13">
        <v>4.9000000000000004</v>
      </c>
      <c r="L5" s="13">
        <v>5.2</v>
      </c>
    </row>
    <row r="6" spans="1:12" x14ac:dyDescent="0.2">
      <c r="A6" t="s">
        <v>4</v>
      </c>
      <c r="B6" t="s">
        <v>5</v>
      </c>
      <c r="C6" s="13">
        <v>3</v>
      </c>
      <c r="D6" s="13">
        <v>3.4</v>
      </c>
      <c r="E6" s="13">
        <v>3.6</v>
      </c>
      <c r="F6" s="13">
        <v>3.9</v>
      </c>
      <c r="G6" s="13">
        <v>3.7</v>
      </c>
      <c r="H6" s="13">
        <v>3.8</v>
      </c>
      <c r="I6" s="13">
        <v>4.0999999999999996</v>
      </c>
      <c r="J6" s="13">
        <v>4</v>
      </c>
      <c r="K6" s="13">
        <v>3.6</v>
      </c>
      <c r="L6" s="13">
        <v>3.6</v>
      </c>
    </row>
    <row r="7" spans="1:12" x14ac:dyDescent="0.2">
      <c r="A7" t="s">
        <v>6</v>
      </c>
      <c r="B7" t="s">
        <v>7</v>
      </c>
      <c r="C7" s="13">
        <v>1.9</v>
      </c>
      <c r="D7" s="13">
        <v>2</v>
      </c>
      <c r="E7" s="13">
        <v>2.2999999999999998</v>
      </c>
      <c r="F7" s="13">
        <v>2.4</v>
      </c>
      <c r="G7" s="13">
        <v>2.2999999999999998</v>
      </c>
      <c r="H7" s="13">
        <v>2.2999999999999998</v>
      </c>
      <c r="I7" s="13">
        <v>2.4</v>
      </c>
      <c r="J7" s="13">
        <v>2.5</v>
      </c>
      <c r="K7" s="13">
        <v>2.2000000000000002</v>
      </c>
      <c r="L7" s="13">
        <v>2.1</v>
      </c>
    </row>
    <row r="8" spans="1:12" x14ac:dyDescent="0.2">
      <c r="A8" t="s">
        <v>8</v>
      </c>
      <c r="B8" t="s">
        <v>9</v>
      </c>
      <c r="C8" s="13">
        <v>1.1000000000000001</v>
      </c>
      <c r="D8" s="13">
        <v>1.4</v>
      </c>
      <c r="E8" s="13">
        <v>1.4</v>
      </c>
      <c r="F8" s="13">
        <v>1.5</v>
      </c>
      <c r="G8" s="13">
        <v>1.4</v>
      </c>
      <c r="H8" s="13">
        <v>1.5</v>
      </c>
      <c r="I8" s="13">
        <v>1.8</v>
      </c>
      <c r="J8" s="13">
        <v>1.5</v>
      </c>
      <c r="K8" s="13">
        <v>1.5</v>
      </c>
      <c r="L8" s="13">
        <v>1.5</v>
      </c>
    </row>
    <row r="9" spans="1:12" x14ac:dyDescent="0.2">
      <c r="A9" t="s">
        <v>10</v>
      </c>
      <c r="B9" t="s">
        <v>11</v>
      </c>
      <c r="C9" s="13">
        <v>0</v>
      </c>
      <c r="D9" s="13">
        <v>0</v>
      </c>
      <c r="E9" s="13">
        <v>0</v>
      </c>
      <c r="F9" s="13">
        <v>0</v>
      </c>
      <c r="G9" s="13">
        <v>0</v>
      </c>
      <c r="H9" s="13">
        <v>0</v>
      </c>
      <c r="I9" s="13">
        <v>0</v>
      </c>
      <c r="J9" s="13">
        <v>0</v>
      </c>
      <c r="K9" s="13">
        <v>0</v>
      </c>
      <c r="L9" s="13">
        <v>0</v>
      </c>
    </row>
    <row r="10" spans="1:12" x14ac:dyDescent="0.2">
      <c r="A10" t="s">
        <v>12</v>
      </c>
      <c r="B10" t="s">
        <v>13</v>
      </c>
      <c r="C10" s="13">
        <v>0.2</v>
      </c>
      <c r="D10" s="13">
        <v>0.2</v>
      </c>
      <c r="E10" s="13">
        <v>0.3</v>
      </c>
      <c r="F10" s="13">
        <v>0.3</v>
      </c>
      <c r="G10" s="13">
        <v>0.4</v>
      </c>
      <c r="H10" s="13">
        <v>0.5</v>
      </c>
      <c r="I10" s="13">
        <v>0.9</v>
      </c>
      <c r="J10" s="13">
        <v>1.2</v>
      </c>
      <c r="K10" s="13">
        <v>1.2</v>
      </c>
      <c r="L10" s="13">
        <v>1.5</v>
      </c>
    </row>
    <row r="11" spans="1:12" x14ac:dyDescent="0.2">
      <c r="A11" t="s">
        <v>14</v>
      </c>
      <c r="B11" t="s">
        <v>15</v>
      </c>
      <c r="C11" s="13">
        <v>0.9</v>
      </c>
      <c r="D11" s="13">
        <v>1</v>
      </c>
      <c r="E11" s="13">
        <v>1.3</v>
      </c>
      <c r="F11" s="13">
        <v>1.3</v>
      </c>
      <c r="G11" s="13">
        <v>1.2</v>
      </c>
      <c r="H11" s="13">
        <v>1.5</v>
      </c>
      <c r="I11" s="13">
        <v>1.6</v>
      </c>
      <c r="J11" s="13">
        <v>1.2</v>
      </c>
      <c r="K11" s="13">
        <v>1.2</v>
      </c>
      <c r="L11" s="13">
        <v>1.3</v>
      </c>
    </row>
    <row r="12" spans="1:12" x14ac:dyDescent="0.2">
      <c r="A12" t="s">
        <v>16</v>
      </c>
      <c r="B12" t="s">
        <v>17</v>
      </c>
      <c r="C12" s="13">
        <v>0.6</v>
      </c>
      <c r="D12" s="13">
        <v>0.7</v>
      </c>
      <c r="E12" s="13">
        <v>0.9</v>
      </c>
      <c r="F12" s="13">
        <v>1</v>
      </c>
      <c r="G12" s="13">
        <v>0.8</v>
      </c>
      <c r="H12" s="13">
        <v>0.9</v>
      </c>
      <c r="I12" s="13">
        <v>1</v>
      </c>
      <c r="J12" s="13">
        <v>0.7</v>
      </c>
      <c r="K12" s="13">
        <v>0.7</v>
      </c>
      <c r="L12" s="13">
        <v>0.9</v>
      </c>
    </row>
    <row r="13" spans="1:12" x14ac:dyDescent="0.2">
      <c r="A13" t="s">
        <v>18</v>
      </c>
      <c r="B13" t="s">
        <v>19</v>
      </c>
      <c r="C13" s="13">
        <v>0</v>
      </c>
      <c r="D13" s="13">
        <v>0.1</v>
      </c>
      <c r="E13" s="13">
        <v>0.1</v>
      </c>
      <c r="F13" s="13">
        <v>0.1</v>
      </c>
      <c r="G13" s="13">
        <v>0.1</v>
      </c>
      <c r="H13" s="13">
        <v>0.2</v>
      </c>
      <c r="I13" s="13">
        <v>0.2</v>
      </c>
      <c r="J13" s="13">
        <v>0.2</v>
      </c>
      <c r="K13" s="13">
        <v>0.1</v>
      </c>
      <c r="L13" s="13">
        <v>0.1</v>
      </c>
    </row>
    <row r="14" spans="1:12" x14ac:dyDescent="0.2">
      <c r="A14" t="s">
        <v>20</v>
      </c>
      <c r="B14" t="s">
        <v>21</v>
      </c>
      <c r="C14" s="13">
        <v>0.3</v>
      </c>
      <c r="D14" s="13">
        <v>0.3</v>
      </c>
      <c r="E14" s="13">
        <v>0.3</v>
      </c>
      <c r="F14" s="13">
        <v>0.2</v>
      </c>
      <c r="G14" s="13">
        <v>0.3</v>
      </c>
      <c r="H14" s="13">
        <v>0.4</v>
      </c>
      <c r="I14" s="13">
        <v>0.4</v>
      </c>
      <c r="J14" s="13">
        <v>0.3</v>
      </c>
      <c r="K14" s="13">
        <v>0.3</v>
      </c>
      <c r="L14" s="13">
        <v>0.3</v>
      </c>
    </row>
    <row r="15" spans="1:12" x14ac:dyDescent="0.2">
      <c r="A15" t="s">
        <v>22</v>
      </c>
      <c r="B15" t="s">
        <v>144</v>
      </c>
      <c r="C15" s="13">
        <v>0</v>
      </c>
      <c r="D15" s="13">
        <v>0</v>
      </c>
      <c r="E15" s="13">
        <v>0</v>
      </c>
      <c r="F15" s="13">
        <v>0</v>
      </c>
      <c r="G15" s="13">
        <v>0</v>
      </c>
      <c r="H15" s="13">
        <v>0</v>
      </c>
      <c r="I15" s="13">
        <v>0</v>
      </c>
      <c r="J15" s="13">
        <v>0</v>
      </c>
      <c r="K15" s="13">
        <v>0</v>
      </c>
      <c r="L15" s="13">
        <v>0</v>
      </c>
    </row>
    <row r="16" spans="1:12" x14ac:dyDescent="0.2">
      <c r="A16" t="s">
        <v>24</v>
      </c>
      <c r="B16" t="s">
        <v>23</v>
      </c>
      <c r="C16" s="13">
        <v>1.6</v>
      </c>
      <c r="D16" s="13">
        <v>1.7</v>
      </c>
      <c r="E16" s="13">
        <v>1.7</v>
      </c>
      <c r="F16" s="13">
        <v>1.7</v>
      </c>
      <c r="G16" s="13">
        <v>1.7</v>
      </c>
      <c r="H16" s="13">
        <v>1.8</v>
      </c>
      <c r="I16" s="13">
        <v>2.2000000000000002</v>
      </c>
      <c r="J16" s="13">
        <v>2</v>
      </c>
      <c r="K16" s="13">
        <v>1.9</v>
      </c>
      <c r="L16" s="13">
        <v>2</v>
      </c>
    </row>
    <row r="17" spans="1:12" x14ac:dyDescent="0.2">
      <c r="A17" t="s">
        <v>26</v>
      </c>
      <c r="B17" t="s">
        <v>25</v>
      </c>
      <c r="C17" s="13">
        <v>0.9</v>
      </c>
      <c r="D17" s="13">
        <v>1</v>
      </c>
      <c r="E17" s="13">
        <v>1</v>
      </c>
      <c r="F17" s="13">
        <v>1</v>
      </c>
      <c r="G17" s="13">
        <v>1</v>
      </c>
      <c r="H17" s="13">
        <v>1.1000000000000001</v>
      </c>
      <c r="I17" s="13">
        <v>1.4</v>
      </c>
      <c r="J17" s="13">
        <v>1.4</v>
      </c>
      <c r="K17" s="13">
        <v>1.3</v>
      </c>
      <c r="L17" s="13">
        <v>1.4</v>
      </c>
    </row>
    <row r="18" spans="1:12" x14ac:dyDescent="0.2">
      <c r="A18" t="s">
        <v>27</v>
      </c>
      <c r="B18" s="6" t="s">
        <v>140</v>
      </c>
      <c r="C18" s="13">
        <v>0</v>
      </c>
      <c r="D18" s="13">
        <v>0</v>
      </c>
      <c r="E18" s="13">
        <v>0</v>
      </c>
      <c r="F18" s="13">
        <v>0</v>
      </c>
      <c r="G18" s="13">
        <v>0</v>
      </c>
      <c r="H18" s="13">
        <v>0</v>
      </c>
      <c r="I18" s="13">
        <v>0</v>
      </c>
      <c r="J18" s="13">
        <v>0</v>
      </c>
      <c r="K18" s="13">
        <v>0</v>
      </c>
      <c r="L18" s="13">
        <v>0</v>
      </c>
    </row>
    <row r="19" spans="1:12" x14ac:dyDescent="0.2">
      <c r="A19" t="s">
        <v>29</v>
      </c>
      <c r="B19" t="s">
        <v>28</v>
      </c>
      <c r="C19" s="13">
        <v>0.3</v>
      </c>
      <c r="D19" s="13">
        <v>0.3</v>
      </c>
      <c r="E19" s="13">
        <v>0.3</v>
      </c>
      <c r="F19" s="13">
        <v>0.3</v>
      </c>
      <c r="G19" s="13">
        <v>0.3</v>
      </c>
      <c r="H19" s="13">
        <v>0.4</v>
      </c>
      <c r="I19" s="13">
        <v>0.6</v>
      </c>
      <c r="J19" s="13">
        <v>0.7</v>
      </c>
      <c r="K19" s="13">
        <v>0.6</v>
      </c>
      <c r="L19" s="13">
        <v>0.7</v>
      </c>
    </row>
    <row r="20" spans="1:12" x14ac:dyDescent="0.2">
      <c r="A20" t="s">
        <v>31</v>
      </c>
      <c r="B20" t="s">
        <v>30</v>
      </c>
      <c r="C20" s="13">
        <v>0.4</v>
      </c>
      <c r="D20" s="13">
        <v>0.4</v>
      </c>
      <c r="E20" s="13">
        <v>0.4</v>
      </c>
      <c r="F20" s="13">
        <v>0.4</v>
      </c>
      <c r="G20" s="13">
        <v>0.4</v>
      </c>
      <c r="H20" s="13">
        <v>0.4</v>
      </c>
      <c r="I20" s="13">
        <v>0.5</v>
      </c>
      <c r="J20" s="13">
        <v>0.4</v>
      </c>
      <c r="K20" s="13">
        <v>0.4</v>
      </c>
      <c r="L20" s="13">
        <v>0.4</v>
      </c>
    </row>
    <row r="21" spans="1:12" x14ac:dyDescent="0.2">
      <c r="A21" t="s">
        <v>33</v>
      </c>
      <c r="B21" t="s">
        <v>32</v>
      </c>
      <c r="C21" s="13">
        <v>0.2</v>
      </c>
      <c r="D21" s="13">
        <v>0.2</v>
      </c>
      <c r="E21" s="13">
        <v>0.2</v>
      </c>
      <c r="F21" s="13">
        <v>0.2</v>
      </c>
      <c r="G21" s="13">
        <v>0.3</v>
      </c>
      <c r="H21" s="13">
        <v>0.3</v>
      </c>
      <c r="I21" s="13">
        <v>0.4</v>
      </c>
      <c r="J21" s="13">
        <v>0.3</v>
      </c>
      <c r="K21" s="13">
        <v>0.3</v>
      </c>
      <c r="L21" s="13">
        <v>0.3</v>
      </c>
    </row>
    <row r="22" spans="1:12" x14ac:dyDescent="0.2">
      <c r="A22" t="s">
        <v>35</v>
      </c>
      <c r="B22" t="s">
        <v>34</v>
      </c>
      <c r="C22" s="13">
        <v>0.6</v>
      </c>
      <c r="D22" s="13">
        <v>0.7</v>
      </c>
      <c r="E22" s="13">
        <v>0.7</v>
      </c>
      <c r="F22" s="13">
        <v>0.7</v>
      </c>
      <c r="G22" s="13">
        <v>0.6</v>
      </c>
      <c r="H22" s="13">
        <v>0.7</v>
      </c>
      <c r="I22" s="13">
        <v>0.7</v>
      </c>
      <c r="J22" s="13">
        <v>0.6</v>
      </c>
      <c r="K22" s="13">
        <v>0.6</v>
      </c>
      <c r="L22" s="13">
        <v>0.6</v>
      </c>
    </row>
    <row r="23" spans="1:12" x14ac:dyDescent="0.2">
      <c r="A23" t="s">
        <v>37</v>
      </c>
      <c r="B23" t="s">
        <v>36</v>
      </c>
      <c r="C23" s="13">
        <v>0</v>
      </c>
      <c r="D23" s="13">
        <v>0</v>
      </c>
      <c r="E23" s="13">
        <v>0</v>
      </c>
      <c r="F23" s="13">
        <v>0</v>
      </c>
      <c r="G23" s="13">
        <v>0</v>
      </c>
      <c r="H23" s="13">
        <v>0</v>
      </c>
      <c r="I23" s="13">
        <v>0</v>
      </c>
      <c r="J23" s="13">
        <v>0</v>
      </c>
      <c r="K23" s="13">
        <v>0</v>
      </c>
      <c r="L23" s="13">
        <v>0</v>
      </c>
    </row>
    <row r="24" spans="1:12" x14ac:dyDescent="0.2">
      <c r="A24" t="s">
        <v>39</v>
      </c>
      <c r="B24" t="s">
        <v>38</v>
      </c>
      <c r="C24" s="13">
        <v>0</v>
      </c>
      <c r="D24" s="13">
        <v>0</v>
      </c>
      <c r="E24" s="13">
        <v>0</v>
      </c>
      <c r="F24" s="13">
        <v>0</v>
      </c>
      <c r="G24" s="13">
        <v>0</v>
      </c>
      <c r="H24" s="13">
        <v>0</v>
      </c>
      <c r="I24" s="13">
        <v>0</v>
      </c>
      <c r="J24" s="13">
        <v>0</v>
      </c>
      <c r="K24" s="13">
        <v>0</v>
      </c>
      <c r="L24" s="13">
        <v>0</v>
      </c>
    </row>
    <row r="25" spans="1:12" x14ac:dyDescent="0.2">
      <c r="A25" t="s">
        <v>41</v>
      </c>
      <c r="B25" t="s">
        <v>40</v>
      </c>
      <c r="C25" s="13">
        <v>6.8</v>
      </c>
      <c r="D25" s="13">
        <v>7.3</v>
      </c>
      <c r="E25" s="13">
        <v>7.1</v>
      </c>
      <c r="F25" s="13">
        <v>7</v>
      </c>
      <c r="G25" s="13">
        <v>7.4</v>
      </c>
      <c r="H25" s="13">
        <v>7.1</v>
      </c>
      <c r="I25" s="13">
        <v>6.5</v>
      </c>
      <c r="J25" s="13">
        <v>7.1</v>
      </c>
      <c r="K25" s="13">
        <v>7.8</v>
      </c>
      <c r="L25" s="13">
        <v>7.8</v>
      </c>
    </row>
    <row r="26" spans="1:12" x14ac:dyDescent="0.2">
      <c r="A26" t="s">
        <v>43</v>
      </c>
      <c r="B26" t="s">
        <v>42</v>
      </c>
      <c r="C26" s="13">
        <v>4.7</v>
      </c>
      <c r="D26" s="13">
        <v>5</v>
      </c>
      <c r="E26" s="13">
        <v>4.7</v>
      </c>
      <c r="F26" s="13">
        <v>4.7</v>
      </c>
      <c r="G26" s="13">
        <v>4.9000000000000004</v>
      </c>
      <c r="H26" s="13">
        <v>4.5999999999999996</v>
      </c>
      <c r="I26" s="13">
        <v>4.9000000000000004</v>
      </c>
      <c r="J26" s="13">
        <v>5.6</v>
      </c>
      <c r="K26" s="13">
        <v>5.3</v>
      </c>
      <c r="L26" s="13">
        <v>5.0999999999999996</v>
      </c>
    </row>
    <row r="27" spans="1:12" x14ac:dyDescent="0.2">
      <c r="A27" t="s">
        <v>45</v>
      </c>
      <c r="B27" t="s">
        <v>44</v>
      </c>
      <c r="C27" s="13">
        <v>1.8</v>
      </c>
      <c r="D27" s="13">
        <v>2</v>
      </c>
      <c r="E27" s="13">
        <v>1.9</v>
      </c>
      <c r="F27" s="13">
        <v>1.8</v>
      </c>
      <c r="G27" s="13">
        <v>2</v>
      </c>
      <c r="H27" s="13">
        <v>1.9</v>
      </c>
      <c r="I27" s="13">
        <v>1</v>
      </c>
      <c r="J27" s="13">
        <v>0.8</v>
      </c>
      <c r="K27" s="13">
        <v>1.8</v>
      </c>
      <c r="L27" s="13">
        <v>2</v>
      </c>
    </row>
    <row r="28" spans="1:12" x14ac:dyDescent="0.2">
      <c r="A28" t="s">
        <v>47</v>
      </c>
      <c r="B28" t="s">
        <v>46</v>
      </c>
      <c r="C28" s="13">
        <v>0.4</v>
      </c>
      <c r="D28" s="13">
        <v>0.4</v>
      </c>
      <c r="E28" s="13">
        <v>0.5</v>
      </c>
      <c r="F28" s="13">
        <v>0.6</v>
      </c>
      <c r="G28" s="13">
        <v>0.6</v>
      </c>
      <c r="H28" s="13">
        <v>0.6</v>
      </c>
      <c r="I28" s="13">
        <v>0.6</v>
      </c>
      <c r="J28" s="13">
        <v>0.7</v>
      </c>
      <c r="K28" s="13">
        <v>0.7</v>
      </c>
      <c r="L28" s="13">
        <v>0.7</v>
      </c>
    </row>
    <row r="29" spans="1:12" x14ac:dyDescent="0.2">
      <c r="A29" t="s">
        <v>49</v>
      </c>
      <c r="B29" t="s">
        <v>48</v>
      </c>
      <c r="C29" s="13">
        <v>1</v>
      </c>
      <c r="D29" s="13">
        <v>1.2</v>
      </c>
      <c r="E29" s="13">
        <v>1.5</v>
      </c>
      <c r="F29" s="13">
        <v>1.4</v>
      </c>
      <c r="G29" s="13">
        <v>1.3</v>
      </c>
      <c r="H29" s="13">
        <v>1.3</v>
      </c>
      <c r="I29" s="13">
        <v>1.4</v>
      </c>
      <c r="J29" s="13">
        <v>1.1000000000000001</v>
      </c>
      <c r="K29" s="13">
        <v>1.1000000000000001</v>
      </c>
      <c r="L29" s="13">
        <v>1.2</v>
      </c>
    </row>
    <row r="30" spans="1:12" x14ac:dyDescent="0.2">
      <c r="A30" t="s">
        <v>51</v>
      </c>
      <c r="B30" t="s">
        <v>50</v>
      </c>
      <c r="C30" s="13">
        <v>20.6</v>
      </c>
      <c r="D30" s="13">
        <v>14.2</v>
      </c>
      <c r="E30" s="13">
        <v>11.7</v>
      </c>
      <c r="F30" s="13">
        <v>12.3</v>
      </c>
      <c r="G30" s="13">
        <v>12.6</v>
      </c>
      <c r="H30" s="13">
        <v>11.8</v>
      </c>
      <c r="I30" s="13">
        <v>9.1</v>
      </c>
      <c r="J30" s="13">
        <v>11.5</v>
      </c>
      <c r="K30" s="13">
        <v>13.2</v>
      </c>
      <c r="L30" s="13">
        <v>12.3</v>
      </c>
    </row>
    <row r="31" spans="1:12" x14ac:dyDescent="0.2">
      <c r="A31" t="s">
        <v>53</v>
      </c>
      <c r="B31" t="s">
        <v>52</v>
      </c>
      <c r="C31" s="13">
        <v>20.100000000000001</v>
      </c>
      <c r="D31" s="13">
        <v>13.7</v>
      </c>
      <c r="E31" s="13">
        <v>11.2</v>
      </c>
      <c r="F31" s="13">
        <v>11.7</v>
      </c>
      <c r="G31" s="13">
        <v>12</v>
      </c>
      <c r="H31" s="13">
        <v>11.3</v>
      </c>
      <c r="I31" s="13">
        <v>8.5</v>
      </c>
      <c r="J31" s="13">
        <v>11</v>
      </c>
      <c r="K31" s="13">
        <v>12.7</v>
      </c>
      <c r="L31" s="13">
        <v>11.8</v>
      </c>
    </row>
    <row r="32" spans="1:12" x14ac:dyDescent="0.2">
      <c r="A32" t="s">
        <v>55</v>
      </c>
      <c r="B32" t="s">
        <v>54</v>
      </c>
      <c r="C32" s="13">
        <v>0.4</v>
      </c>
      <c r="D32" s="13">
        <v>0.4</v>
      </c>
      <c r="E32" s="13">
        <v>0.4</v>
      </c>
      <c r="F32" s="13">
        <v>0.5</v>
      </c>
      <c r="G32" s="13">
        <v>0.5</v>
      </c>
      <c r="H32" s="13">
        <v>0.4</v>
      </c>
      <c r="I32" s="13">
        <v>0.4</v>
      </c>
      <c r="J32" s="13">
        <v>0.4</v>
      </c>
      <c r="K32" s="13">
        <v>0.4</v>
      </c>
      <c r="L32" s="13">
        <v>0.5</v>
      </c>
    </row>
    <row r="33" spans="1:12" x14ac:dyDescent="0.2">
      <c r="A33" t="s">
        <v>57</v>
      </c>
      <c r="B33" t="s">
        <v>56</v>
      </c>
      <c r="C33" s="13">
        <v>0.1</v>
      </c>
      <c r="D33" s="13">
        <v>0.1</v>
      </c>
      <c r="E33" s="13">
        <v>0.1</v>
      </c>
      <c r="F33" s="13">
        <v>0.1</v>
      </c>
      <c r="G33" s="13">
        <v>0.1</v>
      </c>
      <c r="H33" s="13">
        <v>0.1</v>
      </c>
      <c r="I33" s="13">
        <v>0.1</v>
      </c>
      <c r="J33" s="13">
        <v>0.1</v>
      </c>
      <c r="K33" s="13">
        <v>0.1</v>
      </c>
      <c r="L33" s="13">
        <v>0.1</v>
      </c>
    </row>
    <row r="34" spans="1:12" x14ac:dyDescent="0.2">
      <c r="A34" t="s">
        <v>59</v>
      </c>
      <c r="B34" t="s">
        <v>58</v>
      </c>
      <c r="C34" s="13">
        <v>2.4</v>
      </c>
      <c r="D34" s="13">
        <v>2.7</v>
      </c>
      <c r="E34" s="13">
        <v>2.8</v>
      </c>
      <c r="F34" s="13">
        <v>2.7</v>
      </c>
      <c r="G34" s="13">
        <v>2.7</v>
      </c>
      <c r="H34" s="13">
        <v>2.6</v>
      </c>
      <c r="I34" s="13">
        <v>2.8</v>
      </c>
      <c r="J34" s="13">
        <v>3.1</v>
      </c>
      <c r="K34" s="13">
        <v>2.7</v>
      </c>
      <c r="L34" s="13">
        <v>2.2999999999999998</v>
      </c>
    </row>
    <row r="35" spans="1:12" x14ac:dyDescent="0.2">
      <c r="A35" t="s">
        <v>61</v>
      </c>
      <c r="B35" t="s">
        <v>60</v>
      </c>
      <c r="C35" s="13">
        <v>2.4</v>
      </c>
      <c r="D35" s="13">
        <v>2.7</v>
      </c>
      <c r="E35" s="13">
        <v>2.8</v>
      </c>
      <c r="F35" s="13">
        <v>2.7</v>
      </c>
      <c r="G35" s="13">
        <v>2.7</v>
      </c>
      <c r="H35" s="13">
        <v>2.6</v>
      </c>
      <c r="I35" s="13">
        <v>2.8</v>
      </c>
      <c r="J35" s="13">
        <v>3.1</v>
      </c>
      <c r="K35" s="13">
        <v>2.7</v>
      </c>
      <c r="L35" s="13">
        <v>2.2999999999999998</v>
      </c>
    </row>
    <row r="36" spans="1:12" ht="14.25" x14ac:dyDescent="0.2">
      <c r="A36" t="s">
        <v>63</v>
      </c>
      <c r="B36" s="6" t="s">
        <v>157</v>
      </c>
      <c r="C36" s="16" t="s">
        <v>163</v>
      </c>
      <c r="D36" s="16" t="s">
        <v>163</v>
      </c>
      <c r="E36" s="13">
        <v>0</v>
      </c>
      <c r="F36" s="13">
        <v>0</v>
      </c>
      <c r="G36" s="13">
        <v>0</v>
      </c>
      <c r="H36" s="13">
        <v>0</v>
      </c>
      <c r="I36" s="13">
        <v>0</v>
      </c>
      <c r="J36" s="13">
        <v>0</v>
      </c>
      <c r="K36" s="13">
        <v>0</v>
      </c>
      <c r="L36" s="13">
        <v>0</v>
      </c>
    </row>
    <row r="37" spans="1:12" x14ac:dyDescent="0.2">
      <c r="A37" t="s">
        <v>64</v>
      </c>
      <c r="B37" t="s">
        <v>62</v>
      </c>
      <c r="C37" s="13">
        <v>1.8</v>
      </c>
      <c r="D37" s="13">
        <v>2.4</v>
      </c>
      <c r="E37" s="13">
        <v>2.2999999999999998</v>
      </c>
      <c r="F37" s="13">
        <v>2.2999999999999998</v>
      </c>
      <c r="G37" s="13">
        <v>2.2999999999999998</v>
      </c>
      <c r="H37" s="13">
        <v>2.4</v>
      </c>
      <c r="I37" s="13">
        <v>2.8</v>
      </c>
      <c r="J37" s="13">
        <v>2.7</v>
      </c>
      <c r="K37" s="13">
        <v>2.5</v>
      </c>
      <c r="L37" s="13">
        <v>2.4</v>
      </c>
    </row>
    <row r="38" spans="1:12" ht="14.25" x14ac:dyDescent="0.2">
      <c r="A38" t="s">
        <v>66</v>
      </c>
      <c r="B38" s="6" t="s">
        <v>156</v>
      </c>
      <c r="C38" s="13">
        <v>1.5</v>
      </c>
      <c r="D38" s="13">
        <v>2</v>
      </c>
      <c r="E38" s="13">
        <v>2</v>
      </c>
      <c r="F38" s="13">
        <v>1.9</v>
      </c>
      <c r="G38" s="13">
        <v>2</v>
      </c>
      <c r="H38" s="13">
        <v>2.1</v>
      </c>
      <c r="I38" s="13">
        <v>2.6</v>
      </c>
      <c r="J38" s="13">
        <v>2.4</v>
      </c>
      <c r="K38" s="13">
        <v>2.2000000000000002</v>
      </c>
      <c r="L38" s="13">
        <v>2.1</v>
      </c>
    </row>
    <row r="39" spans="1:12" x14ac:dyDescent="0.2">
      <c r="A39" t="s">
        <v>68</v>
      </c>
      <c r="B39" t="s">
        <v>65</v>
      </c>
      <c r="C39" s="13">
        <v>0</v>
      </c>
      <c r="D39" s="13">
        <v>0</v>
      </c>
      <c r="E39" s="13">
        <v>0</v>
      </c>
      <c r="F39" s="13">
        <v>0</v>
      </c>
      <c r="G39" s="13">
        <v>0</v>
      </c>
      <c r="H39" s="13">
        <v>0</v>
      </c>
      <c r="I39" s="13">
        <v>0</v>
      </c>
      <c r="J39" s="13">
        <v>0</v>
      </c>
      <c r="K39" s="13">
        <v>0</v>
      </c>
      <c r="L39" s="13">
        <v>0</v>
      </c>
    </row>
    <row r="40" spans="1:12" x14ac:dyDescent="0.2">
      <c r="A40" t="s">
        <v>70</v>
      </c>
      <c r="B40" t="s">
        <v>67</v>
      </c>
      <c r="C40" s="13">
        <v>1.4</v>
      </c>
      <c r="D40" s="13">
        <v>1.9</v>
      </c>
      <c r="E40" s="13">
        <v>1.8</v>
      </c>
      <c r="F40" s="13">
        <v>1.9</v>
      </c>
      <c r="G40" s="13">
        <v>1.9</v>
      </c>
      <c r="H40" s="13">
        <v>2</v>
      </c>
      <c r="I40" s="13">
        <v>2.5</v>
      </c>
      <c r="J40" s="13">
        <v>2.4</v>
      </c>
      <c r="K40" s="13">
        <v>2.2000000000000002</v>
      </c>
      <c r="L40" s="13">
        <v>2</v>
      </c>
    </row>
    <row r="41" spans="1:12" x14ac:dyDescent="0.2">
      <c r="A41" t="s">
        <v>71</v>
      </c>
      <c r="B41" t="s">
        <v>69</v>
      </c>
      <c r="C41" s="13">
        <v>0.1</v>
      </c>
      <c r="D41" s="13">
        <v>0.1</v>
      </c>
      <c r="E41" s="13">
        <v>0.1</v>
      </c>
      <c r="F41" s="13">
        <v>0.1</v>
      </c>
      <c r="G41" s="13">
        <v>0.1</v>
      </c>
      <c r="H41" s="13">
        <v>0.1</v>
      </c>
      <c r="I41" s="13">
        <v>0.1</v>
      </c>
      <c r="J41" s="13">
        <v>0.1</v>
      </c>
      <c r="K41" s="13">
        <v>0.1</v>
      </c>
      <c r="L41" s="13">
        <v>0.1</v>
      </c>
    </row>
    <row r="42" spans="1:12" ht="14.25" x14ac:dyDescent="0.2">
      <c r="A42" t="s">
        <v>73</v>
      </c>
      <c r="B42" s="6" t="s">
        <v>155</v>
      </c>
      <c r="C42" s="13">
        <v>0.3</v>
      </c>
      <c r="D42" s="13">
        <v>0.4</v>
      </c>
      <c r="E42" s="13">
        <v>0.4</v>
      </c>
      <c r="F42" s="13">
        <v>0.3</v>
      </c>
      <c r="G42" s="13">
        <v>0.3</v>
      </c>
      <c r="H42" s="13">
        <v>0.3</v>
      </c>
      <c r="I42" s="13">
        <v>0.2</v>
      </c>
      <c r="J42" s="13">
        <v>0.3</v>
      </c>
      <c r="K42" s="13">
        <v>0.3</v>
      </c>
      <c r="L42" s="13">
        <v>0.3</v>
      </c>
    </row>
    <row r="43" spans="1:12" x14ac:dyDescent="0.2">
      <c r="A43" t="s">
        <v>75</v>
      </c>
      <c r="B43" t="s">
        <v>72</v>
      </c>
      <c r="C43" s="13">
        <v>0</v>
      </c>
      <c r="D43" s="13">
        <v>0</v>
      </c>
      <c r="E43" s="13">
        <v>0</v>
      </c>
      <c r="F43" s="13">
        <v>0</v>
      </c>
      <c r="G43" s="13">
        <v>0</v>
      </c>
      <c r="H43" s="13">
        <v>0</v>
      </c>
      <c r="I43" s="13">
        <v>0</v>
      </c>
      <c r="J43" s="13">
        <v>0</v>
      </c>
      <c r="K43" s="13">
        <v>0</v>
      </c>
      <c r="L43" s="13">
        <v>0</v>
      </c>
    </row>
    <row r="44" spans="1:12" x14ac:dyDescent="0.2">
      <c r="A44" t="s">
        <v>77</v>
      </c>
      <c r="B44" t="s">
        <v>74</v>
      </c>
      <c r="C44" s="13">
        <v>0.1</v>
      </c>
      <c r="D44" s="13">
        <v>0.1</v>
      </c>
      <c r="E44" s="13">
        <v>0.1</v>
      </c>
      <c r="F44" s="13">
        <v>0.1</v>
      </c>
      <c r="G44" s="13">
        <v>0.1</v>
      </c>
      <c r="H44" s="13">
        <v>0.1</v>
      </c>
      <c r="I44" s="13">
        <v>0.1</v>
      </c>
      <c r="J44" s="13">
        <v>0.1</v>
      </c>
      <c r="K44" s="13">
        <v>0</v>
      </c>
      <c r="L44" s="13">
        <v>0</v>
      </c>
    </row>
    <row r="45" spans="1:12" x14ac:dyDescent="0.2">
      <c r="A45" t="s">
        <v>79</v>
      </c>
      <c r="B45" t="s">
        <v>76</v>
      </c>
      <c r="C45" s="13">
        <v>0</v>
      </c>
      <c r="D45" s="13">
        <v>0</v>
      </c>
      <c r="E45" s="13">
        <v>0</v>
      </c>
      <c r="F45" s="13">
        <v>0</v>
      </c>
      <c r="G45" s="13">
        <v>0</v>
      </c>
      <c r="H45" s="13">
        <v>0</v>
      </c>
      <c r="I45" s="13">
        <v>0</v>
      </c>
      <c r="J45" s="13">
        <v>0</v>
      </c>
      <c r="K45" s="13">
        <v>0</v>
      </c>
      <c r="L45" s="13">
        <v>0</v>
      </c>
    </row>
    <row r="46" spans="1:12" x14ac:dyDescent="0.2">
      <c r="A46" t="s">
        <v>81</v>
      </c>
      <c r="B46" t="s">
        <v>78</v>
      </c>
      <c r="C46" s="13">
        <v>0.1</v>
      </c>
      <c r="D46" s="13">
        <v>0.1</v>
      </c>
      <c r="E46" s="13">
        <v>0.1</v>
      </c>
      <c r="F46" s="13">
        <v>0.1</v>
      </c>
      <c r="G46" s="13">
        <v>0.1</v>
      </c>
      <c r="H46" s="13">
        <v>0.1</v>
      </c>
      <c r="I46" s="13">
        <v>0.1</v>
      </c>
      <c r="J46" s="13">
        <v>0.1</v>
      </c>
      <c r="K46" s="13">
        <v>0.1</v>
      </c>
      <c r="L46" s="13">
        <v>0.1</v>
      </c>
    </row>
    <row r="47" spans="1:12" x14ac:dyDescent="0.2">
      <c r="A47" t="s">
        <v>83</v>
      </c>
      <c r="B47" t="s">
        <v>80</v>
      </c>
      <c r="C47" s="13">
        <v>0.1</v>
      </c>
      <c r="D47" s="13">
        <v>0.2</v>
      </c>
      <c r="E47" s="13">
        <v>0.2</v>
      </c>
      <c r="F47" s="13">
        <v>0.1</v>
      </c>
      <c r="G47" s="13">
        <v>0.1</v>
      </c>
      <c r="H47" s="13">
        <v>0.1</v>
      </c>
      <c r="I47" s="13">
        <v>0.1</v>
      </c>
      <c r="J47" s="13">
        <v>0.1</v>
      </c>
      <c r="K47" s="13">
        <v>0.1</v>
      </c>
      <c r="L47" s="13">
        <v>0.1</v>
      </c>
    </row>
    <row r="48" spans="1:12" x14ac:dyDescent="0.2">
      <c r="A48" t="s">
        <v>85</v>
      </c>
      <c r="B48" t="s">
        <v>82</v>
      </c>
      <c r="C48" s="13">
        <v>29.6</v>
      </c>
      <c r="D48" s="13">
        <v>32.4</v>
      </c>
      <c r="E48" s="13">
        <v>33.6</v>
      </c>
      <c r="F48" s="13">
        <v>34.200000000000003</v>
      </c>
      <c r="G48" s="13">
        <v>35</v>
      </c>
      <c r="H48" s="13">
        <v>35.299999999999997</v>
      </c>
      <c r="I48" s="13">
        <v>31.2</v>
      </c>
      <c r="J48" s="13">
        <v>32.6</v>
      </c>
      <c r="K48" s="13">
        <v>33.5</v>
      </c>
      <c r="L48" s="13">
        <v>35</v>
      </c>
    </row>
    <row r="49" spans="1:12" x14ac:dyDescent="0.2">
      <c r="A49" t="s">
        <v>87</v>
      </c>
      <c r="B49" t="s">
        <v>84</v>
      </c>
      <c r="C49" s="13">
        <v>2.1</v>
      </c>
      <c r="D49" s="13">
        <v>2.1</v>
      </c>
      <c r="E49" s="13">
        <v>1.9</v>
      </c>
      <c r="F49" s="13">
        <v>2.2000000000000002</v>
      </c>
      <c r="G49" s="13">
        <v>2.4</v>
      </c>
      <c r="H49" s="13">
        <v>2.2000000000000002</v>
      </c>
      <c r="I49" s="13">
        <v>2.4</v>
      </c>
      <c r="J49" s="13">
        <v>2.4</v>
      </c>
      <c r="K49" s="13">
        <v>2.6</v>
      </c>
      <c r="L49" s="13">
        <v>2.8</v>
      </c>
    </row>
    <row r="50" spans="1:12" x14ac:dyDescent="0.2">
      <c r="A50" t="s">
        <v>89</v>
      </c>
      <c r="B50" t="s">
        <v>86</v>
      </c>
      <c r="C50" s="13">
        <v>1.2</v>
      </c>
      <c r="D50" s="13">
        <v>1.1000000000000001</v>
      </c>
      <c r="E50" s="13">
        <v>1</v>
      </c>
      <c r="F50" s="13">
        <v>1.4</v>
      </c>
      <c r="G50" s="13">
        <v>1.5</v>
      </c>
      <c r="H50" s="13">
        <v>1.4</v>
      </c>
      <c r="I50" s="13">
        <v>1.8</v>
      </c>
      <c r="J50" s="13">
        <v>1.8</v>
      </c>
      <c r="K50" s="13">
        <v>1.8</v>
      </c>
      <c r="L50" s="13">
        <v>2</v>
      </c>
    </row>
    <row r="51" spans="1:12" x14ac:dyDescent="0.2">
      <c r="A51" t="s">
        <v>91</v>
      </c>
      <c r="B51" t="s">
        <v>88</v>
      </c>
      <c r="C51" s="13">
        <v>0.9</v>
      </c>
      <c r="D51" s="13">
        <v>0.9</v>
      </c>
      <c r="E51" s="13">
        <v>0.9</v>
      </c>
      <c r="F51" s="13">
        <v>0.8</v>
      </c>
      <c r="G51" s="13">
        <v>0.8</v>
      </c>
      <c r="H51" s="13">
        <v>0.8</v>
      </c>
      <c r="I51" s="13">
        <v>0.6</v>
      </c>
      <c r="J51" s="13">
        <v>0.6</v>
      </c>
      <c r="K51" s="13">
        <v>0.8</v>
      </c>
      <c r="L51" s="13">
        <v>0.8</v>
      </c>
    </row>
    <row r="52" spans="1:12" x14ac:dyDescent="0.2">
      <c r="A52" t="s">
        <v>93</v>
      </c>
      <c r="B52" t="s">
        <v>90</v>
      </c>
      <c r="C52" s="13">
        <v>0.4</v>
      </c>
      <c r="D52" s="13">
        <v>0.5</v>
      </c>
      <c r="E52" s="13">
        <v>0.7</v>
      </c>
      <c r="F52" s="13">
        <v>0.8</v>
      </c>
      <c r="G52" s="13">
        <v>0.8</v>
      </c>
      <c r="H52" s="13">
        <v>0.8</v>
      </c>
      <c r="I52" s="13">
        <v>0.9</v>
      </c>
      <c r="J52" s="13">
        <v>0.9</v>
      </c>
      <c r="K52" s="13">
        <v>0.8</v>
      </c>
      <c r="L52" s="13">
        <v>0.8</v>
      </c>
    </row>
    <row r="53" spans="1:12" x14ac:dyDescent="0.2">
      <c r="A53" t="s">
        <v>95</v>
      </c>
      <c r="B53" t="s">
        <v>92</v>
      </c>
      <c r="C53" s="13">
        <v>4.4000000000000004</v>
      </c>
      <c r="D53" s="13">
        <v>4.7</v>
      </c>
      <c r="E53" s="13">
        <v>4.5999999999999996</v>
      </c>
      <c r="F53" s="13">
        <v>4.4000000000000004</v>
      </c>
      <c r="G53" s="13">
        <v>4.4000000000000004</v>
      </c>
      <c r="H53" s="13">
        <v>4.5999999999999996</v>
      </c>
      <c r="I53" s="13">
        <v>4.4000000000000004</v>
      </c>
      <c r="J53" s="13">
        <v>4.4000000000000004</v>
      </c>
      <c r="K53" s="13">
        <v>4.5</v>
      </c>
      <c r="L53" s="13">
        <v>4.5999999999999996</v>
      </c>
    </row>
    <row r="54" spans="1:12" x14ac:dyDescent="0.2">
      <c r="A54" t="s">
        <v>97</v>
      </c>
      <c r="B54" t="s">
        <v>94</v>
      </c>
      <c r="C54" s="13">
        <v>0.3</v>
      </c>
      <c r="D54" s="13">
        <v>0.3</v>
      </c>
      <c r="E54" s="13">
        <v>0.4</v>
      </c>
      <c r="F54" s="13">
        <v>0.4</v>
      </c>
      <c r="G54" s="13">
        <v>0.3</v>
      </c>
      <c r="H54" s="13">
        <v>0.4</v>
      </c>
      <c r="I54" s="13">
        <v>0.3</v>
      </c>
      <c r="J54" s="13">
        <v>0.3</v>
      </c>
      <c r="K54" s="13">
        <v>0.3</v>
      </c>
      <c r="L54" s="13">
        <v>0.3</v>
      </c>
    </row>
    <row r="55" spans="1:12" x14ac:dyDescent="0.2">
      <c r="A55" t="s">
        <v>99</v>
      </c>
      <c r="B55" t="s">
        <v>96</v>
      </c>
      <c r="C55" s="13">
        <v>2.2999999999999998</v>
      </c>
      <c r="D55" s="13">
        <v>2.5</v>
      </c>
      <c r="E55" s="13">
        <v>2.6</v>
      </c>
      <c r="F55" s="13">
        <v>2.4</v>
      </c>
      <c r="G55" s="13">
        <v>2.2999999999999998</v>
      </c>
      <c r="H55" s="13">
        <v>2.5</v>
      </c>
      <c r="I55" s="13">
        <v>2.6</v>
      </c>
      <c r="J55" s="13">
        <v>2.2999999999999998</v>
      </c>
      <c r="K55" s="13">
        <v>2.2999999999999998</v>
      </c>
      <c r="L55" s="13">
        <v>2.4</v>
      </c>
    </row>
    <row r="56" spans="1:12" x14ac:dyDescent="0.2">
      <c r="A56" t="s">
        <v>101</v>
      </c>
      <c r="B56" t="s">
        <v>98</v>
      </c>
      <c r="C56" s="13">
        <v>0</v>
      </c>
      <c r="D56" s="13">
        <v>0</v>
      </c>
      <c r="E56" s="13">
        <v>0</v>
      </c>
      <c r="F56" s="13">
        <v>0</v>
      </c>
      <c r="G56" s="13">
        <v>0</v>
      </c>
      <c r="H56" s="13">
        <v>0</v>
      </c>
      <c r="I56" s="13">
        <v>0</v>
      </c>
      <c r="J56" s="13">
        <v>0</v>
      </c>
      <c r="K56" s="13">
        <v>0</v>
      </c>
      <c r="L56" s="13">
        <v>0</v>
      </c>
    </row>
    <row r="57" spans="1:12" x14ac:dyDescent="0.2">
      <c r="A57" t="s">
        <v>102</v>
      </c>
      <c r="B57" t="s">
        <v>100</v>
      </c>
      <c r="C57" s="13">
        <v>0.1</v>
      </c>
      <c r="D57" s="13">
        <v>0.1</v>
      </c>
      <c r="E57" s="13">
        <v>0</v>
      </c>
      <c r="F57" s="13">
        <v>0</v>
      </c>
      <c r="G57" s="13">
        <v>0</v>
      </c>
      <c r="H57" s="13">
        <v>0</v>
      </c>
      <c r="I57" s="13">
        <v>0</v>
      </c>
      <c r="J57" s="13">
        <v>0</v>
      </c>
      <c r="K57" s="13">
        <v>0</v>
      </c>
      <c r="L57" s="13">
        <v>0</v>
      </c>
    </row>
    <row r="58" spans="1:12" ht="14.25" x14ac:dyDescent="0.2">
      <c r="A58" t="s">
        <v>103</v>
      </c>
      <c r="B58" s="6" t="s">
        <v>154</v>
      </c>
      <c r="C58" s="13">
        <v>1.7</v>
      </c>
      <c r="D58" s="13">
        <v>1.8</v>
      </c>
      <c r="E58" s="13">
        <v>1.6</v>
      </c>
      <c r="F58" s="13">
        <v>1.6</v>
      </c>
      <c r="G58" s="13">
        <v>1.7</v>
      </c>
      <c r="H58" s="13">
        <v>1.7</v>
      </c>
      <c r="I58" s="13">
        <v>1.5</v>
      </c>
      <c r="J58" s="13">
        <v>1.7</v>
      </c>
      <c r="K58" s="13">
        <v>1.8</v>
      </c>
      <c r="L58" s="13">
        <v>1.8</v>
      </c>
    </row>
    <row r="59" spans="1:12" ht="14.25" x14ac:dyDescent="0.2">
      <c r="A59" t="s">
        <v>105</v>
      </c>
      <c r="B59" s="6" t="s">
        <v>153</v>
      </c>
      <c r="C59" s="13">
        <v>0.7</v>
      </c>
      <c r="D59" s="13">
        <v>0.7</v>
      </c>
      <c r="E59" s="13">
        <v>0.7</v>
      </c>
      <c r="F59" s="13">
        <v>0.6</v>
      </c>
      <c r="G59" s="13">
        <v>0.6</v>
      </c>
      <c r="H59" s="13">
        <v>0.8</v>
      </c>
      <c r="I59" s="13">
        <v>1.2</v>
      </c>
      <c r="J59" s="13">
        <v>1.1000000000000001</v>
      </c>
      <c r="K59" s="13">
        <v>0.8</v>
      </c>
      <c r="L59" s="13">
        <v>0.8</v>
      </c>
    </row>
    <row r="60" spans="1:12" x14ac:dyDescent="0.2">
      <c r="A60" t="s">
        <v>107</v>
      </c>
      <c r="B60" t="s">
        <v>104</v>
      </c>
      <c r="C60" s="13">
        <v>3.6</v>
      </c>
      <c r="D60" s="13">
        <v>3.9</v>
      </c>
      <c r="E60" s="13">
        <v>4</v>
      </c>
      <c r="F60" s="13">
        <v>4</v>
      </c>
      <c r="G60" s="13">
        <v>4</v>
      </c>
      <c r="H60" s="13">
        <v>4</v>
      </c>
      <c r="I60" s="13">
        <v>4</v>
      </c>
      <c r="J60" s="13">
        <v>3.9</v>
      </c>
      <c r="K60" s="13">
        <v>3.8</v>
      </c>
      <c r="L60" s="13">
        <v>3.9</v>
      </c>
    </row>
    <row r="61" spans="1:12" x14ac:dyDescent="0.2">
      <c r="A61" t="s">
        <v>109</v>
      </c>
      <c r="B61" t="s">
        <v>106</v>
      </c>
      <c r="C61" s="13">
        <v>0.4</v>
      </c>
      <c r="D61" s="13">
        <v>0.3</v>
      </c>
      <c r="E61" s="13">
        <v>0.4</v>
      </c>
      <c r="F61" s="13">
        <v>0.4</v>
      </c>
      <c r="G61" s="13">
        <v>0.4</v>
      </c>
      <c r="H61" s="13">
        <v>0.4</v>
      </c>
      <c r="I61" s="13">
        <v>0.5</v>
      </c>
      <c r="J61" s="13">
        <v>0.3</v>
      </c>
      <c r="K61" s="13">
        <v>0.3</v>
      </c>
      <c r="L61" s="13">
        <v>0.3</v>
      </c>
    </row>
    <row r="62" spans="1:12" x14ac:dyDescent="0.2">
      <c r="A62" t="s">
        <v>111</v>
      </c>
      <c r="B62" t="s">
        <v>108</v>
      </c>
      <c r="C62" s="13">
        <v>0</v>
      </c>
      <c r="D62" s="13">
        <v>0</v>
      </c>
      <c r="E62" s="13">
        <v>0</v>
      </c>
      <c r="F62" s="13">
        <v>0</v>
      </c>
      <c r="G62" s="13">
        <v>0</v>
      </c>
      <c r="H62" s="13">
        <v>0</v>
      </c>
      <c r="I62" s="13">
        <v>0</v>
      </c>
      <c r="J62" s="13">
        <v>0</v>
      </c>
      <c r="K62" s="13">
        <v>0</v>
      </c>
      <c r="L62" s="13">
        <v>0</v>
      </c>
    </row>
    <row r="63" spans="1:12" x14ac:dyDescent="0.2">
      <c r="A63" t="s">
        <v>113</v>
      </c>
      <c r="B63" t="s">
        <v>110</v>
      </c>
      <c r="C63" s="13">
        <v>0.4</v>
      </c>
      <c r="D63" s="13">
        <v>0.4</v>
      </c>
      <c r="E63" s="13">
        <v>0.5</v>
      </c>
      <c r="F63" s="13">
        <v>0.5</v>
      </c>
      <c r="G63" s="13">
        <v>0.6</v>
      </c>
      <c r="H63" s="13">
        <v>0.6</v>
      </c>
      <c r="I63" s="13">
        <v>0.4</v>
      </c>
      <c r="J63" s="13">
        <v>0.6</v>
      </c>
      <c r="K63" s="13">
        <v>0.6</v>
      </c>
      <c r="L63" s="13">
        <v>0.6</v>
      </c>
    </row>
    <row r="64" spans="1:12" x14ac:dyDescent="0.2">
      <c r="A64" t="s">
        <v>114</v>
      </c>
      <c r="B64" t="s">
        <v>112</v>
      </c>
      <c r="C64" s="13">
        <v>0.2</v>
      </c>
      <c r="D64" s="13">
        <v>0.2</v>
      </c>
      <c r="E64" s="13">
        <v>0.2</v>
      </c>
      <c r="F64" s="13">
        <v>0.2</v>
      </c>
      <c r="G64" s="13">
        <v>0.2</v>
      </c>
      <c r="H64" s="13">
        <v>0.2</v>
      </c>
      <c r="I64" s="13">
        <v>0.4</v>
      </c>
      <c r="J64" s="13">
        <v>0.3</v>
      </c>
      <c r="K64" s="13">
        <v>0.3</v>
      </c>
      <c r="L64" s="13">
        <v>0.3</v>
      </c>
    </row>
    <row r="65" spans="1:12" x14ac:dyDescent="0.2">
      <c r="A65" t="s">
        <v>116</v>
      </c>
      <c r="B65" s="6" t="s">
        <v>142</v>
      </c>
      <c r="C65" s="13">
        <v>0.8</v>
      </c>
      <c r="D65" s="13">
        <v>0.9</v>
      </c>
      <c r="E65" s="13">
        <v>0.9</v>
      </c>
      <c r="F65" s="13">
        <v>0.8</v>
      </c>
      <c r="G65" s="13">
        <v>0.8</v>
      </c>
      <c r="H65" s="13">
        <v>0.9</v>
      </c>
      <c r="I65" s="13">
        <v>0.9</v>
      </c>
      <c r="J65" s="13">
        <v>0.9</v>
      </c>
      <c r="K65" s="13">
        <v>0.8</v>
      </c>
      <c r="L65" s="13">
        <v>0.8</v>
      </c>
    </row>
    <row r="66" spans="1:12" x14ac:dyDescent="0.2">
      <c r="A66" t="s">
        <v>118</v>
      </c>
      <c r="B66" t="s">
        <v>115</v>
      </c>
      <c r="C66" s="13">
        <v>0</v>
      </c>
      <c r="D66" s="13">
        <v>0.1</v>
      </c>
      <c r="E66" s="13">
        <v>0</v>
      </c>
      <c r="F66" s="13">
        <v>0</v>
      </c>
      <c r="G66" s="13">
        <v>0</v>
      </c>
      <c r="H66" s="13">
        <v>0</v>
      </c>
      <c r="I66" s="13">
        <v>0</v>
      </c>
      <c r="J66" s="13">
        <v>0</v>
      </c>
      <c r="K66" s="13">
        <v>0</v>
      </c>
      <c r="L66" s="13">
        <v>0</v>
      </c>
    </row>
    <row r="67" spans="1:12" x14ac:dyDescent="0.2">
      <c r="A67" t="s">
        <v>120</v>
      </c>
      <c r="B67" t="s">
        <v>117</v>
      </c>
      <c r="C67" s="13">
        <v>1.7</v>
      </c>
      <c r="D67" s="13">
        <v>1.9</v>
      </c>
      <c r="E67" s="13">
        <v>2</v>
      </c>
      <c r="F67" s="13">
        <v>2</v>
      </c>
      <c r="G67" s="13">
        <v>1.9</v>
      </c>
      <c r="H67" s="13">
        <v>1.9</v>
      </c>
      <c r="I67" s="13">
        <v>1.8</v>
      </c>
      <c r="J67" s="13">
        <v>1.8</v>
      </c>
      <c r="K67" s="13">
        <v>1.7</v>
      </c>
      <c r="L67" s="13">
        <v>1.7</v>
      </c>
    </row>
    <row r="68" spans="1:12" x14ac:dyDescent="0.2">
      <c r="A68" t="s">
        <v>122</v>
      </c>
      <c r="B68" t="s">
        <v>119</v>
      </c>
      <c r="C68" s="13">
        <v>18.5</v>
      </c>
      <c r="D68" s="13">
        <v>20.5</v>
      </c>
      <c r="E68" s="13">
        <v>21.6</v>
      </c>
      <c r="F68" s="13">
        <v>22.1</v>
      </c>
      <c r="G68" s="13">
        <v>22.7</v>
      </c>
      <c r="H68" s="13">
        <v>23</v>
      </c>
      <c r="I68" s="13">
        <v>18.399999999999999</v>
      </c>
      <c r="J68" s="13">
        <v>19.899999999999999</v>
      </c>
      <c r="K68" s="13">
        <v>21.2</v>
      </c>
      <c r="L68" s="13">
        <v>22.3</v>
      </c>
    </row>
    <row r="69" spans="1:12" x14ac:dyDescent="0.2">
      <c r="A69" t="s">
        <v>124</v>
      </c>
      <c r="B69" t="s">
        <v>121</v>
      </c>
      <c r="C69" s="13">
        <v>2.4</v>
      </c>
      <c r="D69" s="13">
        <v>2.7</v>
      </c>
      <c r="E69" s="13">
        <v>2.9</v>
      </c>
      <c r="F69" s="13">
        <v>3.1</v>
      </c>
      <c r="G69" s="13">
        <v>3.1</v>
      </c>
      <c r="H69" s="13">
        <v>2.9</v>
      </c>
      <c r="I69" s="13">
        <v>1.6</v>
      </c>
      <c r="J69" s="13">
        <v>2.7</v>
      </c>
      <c r="K69" s="13">
        <v>2.7</v>
      </c>
      <c r="L69" s="13">
        <v>2.8</v>
      </c>
    </row>
    <row r="70" spans="1:12" x14ac:dyDescent="0.2">
      <c r="A70" t="s">
        <v>126</v>
      </c>
      <c r="B70" t="s">
        <v>123</v>
      </c>
      <c r="C70" s="13">
        <v>13</v>
      </c>
      <c r="D70" s="13">
        <v>14.4</v>
      </c>
      <c r="E70" s="13">
        <v>14.8</v>
      </c>
      <c r="F70" s="13">
        <v>15</v>
      </c>
      <c r="G70" s="13">
        <v>15.2</v>
      </c>
      <c r="H70" s="13">
        <v>15.4</v>
      </c>
      <c r="I70" s="13">
        <v>15.1</v>
      </c>
      <c r="J70" s="13">
        <v>14.4</v>
      </c>
      <c r="K70" s="13">
        <v>14.7</v>
      </c>
      <c r="L70" s="13">
        <v>15.4</v>
      </c>
    </row>
    <row r="71" spans="1:12" x14ac:dyDescent="0.2">
      <c r="A71" t="s">
        <v>128</v>
      </c>
      <c r="B71" t="s">
        <v>125</v>
      </c>
      <c r="C71" s="13">
        <v>0.3</v>
      </c>
      <c r="D71" s="13">
        <v>0.4</v>
      </c>
      <c r="E71" s="13">
        <v>0.4</v>
      </c>
      <c r="F71" s="13">
        <v>0.4</v>
      </c>
      <c r="G71" s="13">
        <v>0.4</v>
      </c>
      <c r="H71" s="13">
        <v>0.4</v>
      </c>
      <c r="I71" s="13">
        <v>0.2</v>
      </c>
      <c r="J71" s="13">
        <v>0.2</v>
      </c>
      <c r="K71" s="13">
        <v>0.3</v>
      </c>
      <c r="L71" s="13">
        <v>0.4</v>
      </c>
    </row>
    <row r="72" spans="1:12" x14ac:dyDescent="0.2">
      <c r="A72" t="s">
        <v>130</v>
      </c>
      <c r="B72" t="s">
        <v>127</v>
      </c>
      <c r="C72" s="13">
        <v>2.8</v>
      </c>
      <c r="D72" s="13">
        <v>3.1</v>
      </c>
      <c r="E72" s="13">
        <v>3.5</v>
      </c>
      <c r="F72" s="13">
        <v>3.6</v>
      </c>
      <c r="G72" s="13">
        <v>4</v>
      </c>
      <c r="H72" s="13">
        <v>4.0999999999999996</v>
      </c>
      <c r="I72" s="13">
        <v>1.5</v>
      </c>
      <c r="J72" s="13">
        <v>2.7</v>
      </c>
      <c r="K72" s="13">
        <v>3.5</v>
      </c>
      <c r="L72" s="13">
        <v>3.7</v>
      </c>
    </row>
    <row r="73" spans="1:12" x14ac:dyDescent="0.2">
      <c r="A73" t="s">
        <v>132</v>
      </c>
      <c r="B73" t="s">
        <v>129</v>
      </c>
      <c r="C73" s="13">
        <v>32</v>
      </c>
      <c r="D73" s="13">
        <v>33.5</v>
      </c>
      <c r="E73" s="13">
        <v>34.1</v>
      </c>
      <c r="F73" s="13">
        <v>32.799999999999997</v>
      </c>
      <c r="G73" s="13">
        <v>31.7</v>
      </c>
      <c r="H73" s="13">
        <v>31.9</v>
      </c>
      <c r="I73" s="13">
        <v>37.299999999999997</v>
      </c>
      <c r="J73" s="13">
        <v>33.4</v>
      </c>
      <c r="K73" s="13">
        <v>31.1</v>
      </c>
      <c r="L73" s="13">
        <v>30.5</v>
      </c>
    </row>
    <row r="74" spans="1:12" x14ac:dyDescent="0.2">
      <c r="A74" t="s">
        <v>134</v>
      </c>
      <c r="B74" t="s">
        <v>131</v>
      </c>
      <c r="C74" s="13">
        <v>29.7</v>
      </c>
      <c r="D74" s="13">
        <v>31.1</v>
      </c>
      <c r="E74" s="13">
        <v>31.7</v>
      </c>
      <c r="F74" s="13">
        <v>30.4</v>
      </c>
      <c r="G74" s="13">
        <v>29.1</v>
      </c>
      <c r="H74" s="13">
        <v>29.3</v>
      </c>
      <c r="I74" s="13">
        <v>34.299999999999997</v>
      </c>
      <c r="J74" s="13">
        <v>30.8</v>
      </c>
      <c r="K74" s="13">
        <v>28.6</v>
      </c>
      <c r="L74" s="13">
        <v>27.9</v>
      </c>
    </row>
    <row r="75" spans="1:12" x14ac:dyDescent="0.2">
      <c r="A75" t="s">
        <v>145</v>
      </c>
      <c r="B75" t="s">
        <v>133</v>
      </c>
      <c r="C75" s="13">
        <v>1.7</v>
      </c>
      <c r="D75" s="13">
        <v>1.7</v>
      </c>
      <c r="E75" s="13">
        <v>1.8</v>
      </c>
      <c r="F75" s="13">
        <v>1.8</v>
      </c>
      <c r="G75" s="13">
        <v>1.9</v>
      </c>
      <c r="H75" s="13">
        <v>1.9</v>
      </c>
      <c r="I75" s="13">
        <v>2.2000000000000002</v>
      </c>
      <c r="J75" s="13">
        <v>1.9</v>
      </c>
      <c r="K75" s="13">
        <v>1.6</v>
      </c>
      <c r="L75" s="13">
        <v>1.7</v>
      </c>
    </row>
    <row r="76" spans="1:12" x14ac:dyDescent="0.2">
      <c r="A76" s="7" t="s">
        <v>146</v>
      </c>
      <c r="B76" s="7" t="s">
        <v>135</v>
      </c>
      <c r="C76" s="12">
        <v>0.6</v>
      </c>
      <c r="D76" s="12">
        <v>0.7</v>
      </c>
      <c r="E76" s="12">
        <v>0.7</v>
      </c>
      <c r="F76" s="12">
        <v>0.6</v>
      </c>
      <c r="G76" s="12">
        <v>0.7</v>
      </c>
      <c r="H76" s="12">
        <v>0.7</v>
      </c>
      <c r="I76" s="12">
        <v>0.9</v>
      </c>
      <c r="J76" s="12">
        <v>0.7</v>
      </c>
      <c r="K76" s="12">
        <v>0.8</v>
      </c>
      <c r="L76" s="12">
        <v>0.8</v>
      </c>
    </row>
    <row r="77" spans="1:12" ht="12.95" customHeight="1" x14ac:dyDescent="0.2">
      <c r="A77" s="21" t="s">
        <v>162</v>
      </c>
      <c r="B77" s="21"/>
      <c r="C77" s="21"/>
      <c r="D77" s="21"/>
      <c r="E77" s="21"/>
      <c r="F77" s="21"/>
      <c r="G77" s="21"/>
      <c r="H77" s="21"/>
      <c r="I77" s="21"/>
      <c r="J77" s="21"/>
      <c r="K77" s="21"/>
      <c r="L77" s="21"/>
    </row>
    <row r="78" spans="1:12" s="6" customFormat="1" ht="27.95" customHeight="1" x14ac:dyDescent="0.2">
      <c r="A78" s="17" t="s">
        <v>152</v>
      </c>
      <c r="B78" s="17"/>
      <c r="C78" s="17"/>
      <c r="D78" s="17"/>
      <c r="E78" s="17"/>
      <c r="F78" s="17"/>
      <c r="G78" s="17"/>
      <c r="H78" s="17"/>
      <c r="I78" s="17"/>
      <c r="J78" s="17"/>
      <c r="K78" s="17"/>
      <c r="L78" s="17"/>
    </row>
    <row r="79" spans="1:12" s="6" customFormat="1" ht="27.95" customHeight="1" x14ac:dyDescent="0.2">
      <c r="A79" s="17" t="s">
        <v>151</v>
      </c>
      <c r="B79" s="17"/>
      <c r="C79" s="17"/>
      <c r="D79" s="17"/>
      <c r="E79" s="17"/>
      <c r="F79" s="17"/>
      <c r="G79" s="17"/>
      <c r="H79" s="17"/>
      <c r="I79" s="17"/>
      <c r="J79" s="17"/>
      <c r="K79" s="17"/>
      <c r="L79" s="17"/>
    </row>
    <row r="80" spans="1:12" s="6" customFormat="1" ht="12.95" customHeight="1" x14ac:dyDescent="0.2">
      <c r="A80" s="17" t="s">
        <v>150</v>
      </c>
      <c r="B80" s="17"/>
      <c r="C80" s="17"/>
      <c r="D80" s="17"/>
      <c r="E80" s="17"/>
      <c r="F80" s="17"/>
      <c r="G80" s="17"/>
      <c r="H80" s="17"/>
      <c r="I80" s="17"/>
      <c r="J80" s="17"/>
      <c r="K80" s="17"/>
      <c r="L80" s="17"/>
    </row>
    <row r="81" spans="1:12" s="6" customFormat="1" ht="12.95" customHeight="1" x14ac:dyDescent="0.2">
      <c r="A81" s="17" t="s">
        <v>149</v>
      </c>
      <c r="B81" s="17"/>
      <c r="C81" s="17"/>
      <c r="D81" s="17"/>
      <c r="E81" s="17"/>
      <c r="F81" s="17"/>
      <c r="G81" s="17"/>
      <c r="H81" s="17"/>
      <c r="I81" s="17"/>
      <c r="J81" s="17"/>
      <c r="K81" s="17"/>
      <c r="L81" s="17"/>
    </row>
    <row r="82" spans="1:12" s="6" customFormat="1" ht="24.95" customHeight="1" x14ac:dyDescent="0.2">
      <c r="A82" s="17"/>
      <c r="B82" s="17"/>
      <c r="C82" s="17"/>
      <c r="D82" s="17"/>
      <c r="E82" s="17"/>
      <c r="F82" s="17"/>
      <c r="G82" s="17"/>
      <c r="H82" s="17"/>
    </row>
  </sheetData>
  <mergeCells count="8">
    <mergeCell ref="A79:L79"/>
    <mergeCell ref="A80:L80"/>
    <mergeCell ref="A81:L81"/>
    <mergeCell ref="A1:L1"/>
    <mergeCell ref="A82:H82"/>
    <mergeCell ref="A2:H2"/>
    <mergeCell ref="A77:L77"/>
    <mergeCell ref="A78:L78"/>
  </mergeCells>
  <phoneticPr fontId="7" type="noConversion"/>
  <pageMargins left="0.75" right="0.75" top="1" bottom="1" header="0.5" footer="0.5"/>
  <pageSetup orientation="portrait" horizontalDpi="300" verticalDpi="300" r:id="rId1"/>
  <headerFooter alignWithMargins="0"/>
  <customProperties>
    <customPr name="SourceTableI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2CA2E-CFD8-4D1F-A2C6-DF6BB868E001}">
  <dimension ref="A1:L81"/>
  <sheetViews>
    <sheetView workbookViewId="0">
      <pane ySplit="3" topLeftCell="A4" activePane="bottomLeft" state="frozen"/>
      <selection sqref="A1:L1"/>
      <selection pane="bottomLeft" sqref="A1:L1"/>
    </sheetView>
  </sheetViews>
  <sheetFormatPr defaultRowHeight="12.75" x14ac:dyDescent="0.2"/>
  <cols>
    <col min="2" max="2" width="70.7109375" customWidth="1"/>
    <col min="3" max="12" width="9.7109375" customWidth="1"/>
  </cols>
  <sheetData>
    <row r="1" spans="1:12" ht="18" x14ac:dyDescent="0.25">
      <c r="A1" s="18" t="s">
        <v>138</v>
      </c>
      <c r="B1" s="18"/>
      <c r="C1" s="18"/>
      <c r="D1" s="18"/>
      <c r="E1" s="18"/>
      <c r="F1" s="18"/>
      <c r="G1" s="18"/>
      <c r="H1" s="18"/>
      <c r="I1" s="18"/>
      <c r="J1" s="18"/>
      <c r="K1" s="18"/>
      <c r="L1" s="18"/>
    </row>
    <row r="2" spans="1:12" ht="16.5" customHeight="1" x14ac:dyDescent="0.25">
      <c r="A2" s="19" t="s">
        <v>148</v>
      </c>
      <c r="B2" s="19"/>
      <c r="C2" s="19"/>
      <c r="D2" s="19"/>
      <c r="E2" s="19"/>
      <c r="F2" s="19"/>
      <c r="G2" s="19"/>
      <c r="H2" s="19"/>
      <c r="I2" s="19"/>
      <c r="J2" s="19"/>
      <c r="K2" s="19"/>
      <c r="L2" s="19"/>
    </row>
    <row r="3" spans="1:12" x14ac:dyDescent="0.2">
      <c r="A3" s="10" t="s">
        <v>0</v>
      </c>
      <c r="B3" s="10" t="s">
        <v>0</v>
      </c>
      <c r="C3" s="10">
        <v>2014</v>
      </c>
      <c r="D3" s="10">
        <v>2015</v>
      </c>
      <c r="E3" s="10">
        <v>2016</v>
      </c>
      <c r="F3" s="10">
        <v>2017</v>
      </c>
      <c r="G3" s="10">
        <v>2018</v>
      </c>
      <c r="H3" s="10">
        <v>2019</v>
      </c>
      <c r="I3" s="10">
        <v>2020</v>
      </c>
      <c r="J3" s="10">
        <v>2021</v>
      </c>
      <c r="K3" s="10">
        <v>2022</v>
      </c>
      <c r="L3" s="10">
        <v>2023</v>
      </c>
    </row>
    <row r="4" spans="1:12" x14ac:dyDescent="0.2">
      <c r="A4" s="1" t="s">
        <v>1</v>
      </c>
      <c r="B4" s="1" t="s">
        <v>141</v>
      </c>
      <c r="C4" s="3">
        <v>99.183000000000007</v>
      </c>
      <c r="D4" s="3">
        <v>99.825999999999993</v>
      </c>
      <c r="E4" s="3">
        <v>99.212000000000003</v>
      </c>
      <c r="F4" s="3">
        <v>100</v>
      </c>
      <c r="G4" s="3">
        <v>100.21</v>
      </c>
      <c r="H4" s="3">
        <v>101.71</v>
      </c>
      <c r="I4" s="3">
        <v>96.363</v>
      </c>
      <c r="J4" s="3">
        <v>106.193</v>
      </c>
      <c r="K4" s="3">
        <v>109.09699999999999</v>
      </c>
      <c r="L4" s="3">
        <v>112.26600000000001</v>
      </c>
    </row>
    <row r="5" spans="1:12" x14ac:dyDescent="0.2">
      <c r="A5" t="s">
        <v>2</v>
      </c>
      <c r="B5" t="s">
        <v>3</v>
      </c>
      <c r="C5" s="2">
        <v>79.180000000000007</v>
      </c>
      <c r="D5" s="2">
        <v>87.715999999999994</v>
      </c>
      <c r="E5" s="2">
        <v>91.567999999999998</v>
      </c>
      <c r="F5" s="2">
        <v>100</v>
      </c>
      <c r="G5" s="2">
        <v>97.552000000000007</v>
      </c>
      <c r="H5" s="2">
        <v>100.35299999999999</v>
      </c>
      <c r="I5" s="2">
        <v>108.307</v>
      </c>
      <c r="J5" s="2">
        <v>122.322</v>
      </c>
      <c r="K5" s="2">
        <v>120.94499999999999</v>
      </c>
      <c r="L5" s="2">
        <v>131.53700000000001</v>
      </c>
    </row>
    <row r="6" spans="1:12" x14ac:dyDescent="0.2">
      <c r="A6" t="s">
        <v>4</v>
      </c>
      <c r="B6" t="s">
        <v>5</v>
      </c>
      <c r="C6" s="2">
        <v>81.563000000000002</v>
      </c>
      <c r="D6" s="2">
        <v>89.39</v>
      </c>
      <c r="E6" s="2">
        <v>92.876000000000005</v>
      </c>
      <c r="F6" s="2">
        <v>100</v>
      </c>
      <c r="G6" s="2">
        <v>95.42</v>
      </c>
      <c r="H6" s="2">
        <v>95.784999999999997</v>
      </c>
      <c r="I6" s="2">
        <v>97.224000000000004</v>
      </c>
      <c r="J6" s="2">
        <v>100.767</v>
      </c>
      <c r="K6" s="2">
        <v>94.275000000000006</v>
      </c>
      <c r="L6" s="2">
        <v>97.221000000000004</v>
      </c>
    </row>
    <row r="7" spans="1:12" x14ac:dyDescent="0.2">
      <c r="A7" t="s">
        <v>6</v>
      </c>
      <c r="B7" t="s">
        <v>7</v>
      </c>
      <c r="C7" s="2">
        <v>80.17</v>
      </c>
      <c r="D7" s="2">
        <v>85.516999999999996</v>
      </c>
      <c r="E7" s="2">
        <v>93.155000000000001</v>
      </c>
      <c r="F7" s="2">
        <v>100</v>
      </c>
      <c r="G7" s="2">
        <v>96.099000000000004</v>
      </c>
      <c r="H7" s="2">
        <v>97.76</v>
      </c>
      <c r="I7" s="2">
        <v>94.774000000000001</v>
      </c>
      <c r="J7" s="2">
        <v>99.352999999999994</v>
      </c>
      <c r="K7" s="2">
        <v>92.274000000000001</v>
      </c>
      <c r="L7" s="2">
        <v>93.546000000000006</v>
      </c>
    </row>
    <row r="8" spans="1:12" x14ac:dyDescent="0.2">
      <c r="A8" t="s">
        <v>8</v>
      </c>
      <c r="B8" t="s">
        <v>9</v>
      </c>
      <c r="C8" s="2">
        <v>83.700999999999993</v>
      </c>
      <c r="D8" s="2">
        <v>95.588999999999999</v>
      </c>
      <c r="E8" s="2">
        <v>92.427000000000007</v>
      </c>
      <c r="F8" s="2">
        <v>100</v>
      </c>
      <c r="G8" s="2">
        <v>94.358000000000004</v>
      </c>
      <c r="H8" s="2">
        <v>92.772999999999996</v>
      </c>
      <c r="I8" s="2">
        <v>100.49299999999999</v>
      </c>
      <c r="J8" s="2">
        <v>102.474</v>
      </c>
      <c r="K8" s="2">
        <v>96.97</v>
      </c>
      <c r="L8" s="2">
        <v>102.505</v>
      </c>
    </row>
    <row r="9" spans="1:12" x14ac:dyDescent="0.2">
      <c r="A9" t="s">
        <v>10</v>
      </c>
      <c r="B9" t="s">
        <v>11</v>
      </c>
      <c r="C9" s="2">
        <v>101.206</v>
      </c>
      <c r="D9" s="2">
        <v>138.55799999999999</v>
      </c>
      <c r="E9" s="2">
        <v>147.11799999999999</v>
      </c>
      <c r="F9" s="2">
        <v>100</v>
      </c>
      <c r="G9" s="2">
        <v>100.34099999999999</v>
      </c>
      <c r="H9" s="2">
        <v>91.912000000000006</v>
      </c>
      <c r="I9" s="2">
        <v>102.986</v>
      </c>
      <c r="J9" s="2">
        <v>82.980999999999995</v>
      </c>
      <c r="K9" s="2">
        <v>77.146000000000001</v>
      </c>
      <c r="L9" s="2">
        <v>101.355</v>
      </c>
    </row>
    <row r="10" spans="1:12" x14ac:dyDescent="0.2">
      <c r="A10" t="s">
        <v>12</v>
      </c>
      <c r="B10" t="s">
        <v>13</v>
      </c>
      <c r="C10" s="2">
        <v>51.920999999999999</v>
      </c>
      <c r="D10" s="2">
        <v>67.281000000000006</v>
      </c>
      <c r="E10" s="2">
        <v>74.941000000000003</v>
      </c>
      <c r="F10" s="2">
        <v>100</v>
      </c>
      <c r="G10" s="2">
        <v>121.699</v>
      </c>
      <c r="H10" s="2">
        <v>152.59200000000001</v>
      </c>
      <c r="I10" s="2">
        <v>232.602</v>
      </c>
      <c r="J10" s="2">
        <v>367.64699999999999</v>
      </c>
      <c r="K10" s="2">
        <v>431.858</v>
      </c>
      <c r="L10" s="2">
        <v>539.49900000000002</v>
      </c>
    </row>
    <row r="11" spans="1:12" x14ac:dyDescent="0.2">
      <c r="A11" t="s">
        <v>14</v>
      </c>
      <c r="B11" t="s">
        <v>15</v>
      </c>
      <c r="C11" s="2">
        <v>74.783000000000001</v>
      </c>
      <c r="D11" s="2">
        <v>79.668000000000006</v>
      </c>
      <c r="E11" s="2">
        <v>95.971000000000004</v>
      </c>
      <c r="F11" s="2">
        <v>100</v>
      </c>
      <c r="G11" s="2">
        <v>93.775999999999996</v>
      </c>
      <c r="H11" s="2">
        <v>114.155</v>
      </c>
      <c r="I11" s="2">
        <v>111.31</v>
      </c>
      <c r="J11" s="2">
        <v>96.135999999999996</v>
      </c>
      <c r="K11" s="2">
        <v>98.643000000000001</v>
      </c>
      <c r="L11" s="2">
        <v>107.176</v>
      </c>
    </row>
    <row r="12" spans="1:12" x14ac:dyDescent="0.2">
      <c r="A12" t="s">
        <v>16</v>
      </c>
      <c r="B12" t="s">
        <v>17</v>
      </c>
      <c r="C12" s="2">
        <v>62.033999999999999</v>
      </c>
      <c r="D12" s="2">
        <v>69.022999999999996</v>
      </c>
      <c r="E12" s="2">
        <v>90.695999999999998</v>
      </c>
      <c r="F12" s="2">
        <v>100</v>
      </c>
      <c r="G12" s="2">
        <v>86.46</v>
      </c>
      <c r="H12" s="2">
        <v>91.603999999999999</v>
      </c>
      <c r="I12" s="2">
        <v>93.302999999999997</v>
      </c>
      <c r="J12" s="2">
        <v>76.036000000000001</v>
      </c>
      <c r="K12" s="2">
        <v>79.057000000000002</v>
      </c>
      <c r="L12" s="2">
        <v>93.034999999999997</v>
      </c>
    </row>
    <row r="13" spans="1:12" x14ac:dyDescent="0.2">
      <c r="A13" t="s">
        <v>18</v>
      </c>
      <c r="B13" t="s">
        <v>19</v>
      </c>
      <c r="C13" s="2">
        <v>78.167000000000002</v>
      </c>
      <c r="D13" s="2">
        <v>83.363</v>
      </c>
      <c r="E13" s="2">
        <v>113.587</v>
      </c>
      <c r="F13" s="2">
        <v>100</v>
      </c>
      <c r="G13" s="2">
        <v>118.821</v>
      </c>
      <c r="H13" s="2">
        <v>286.70699999999999</v>
      </c>
      <c r="I13" s="2">
        <v>262.637</v>
      </c>
      <c r="J13" s="2">
        <v>262.04000000000002</v>
      </c>
      <c r="K13" s="2">
        <v>223.27199999999999</v>
      </c>
      <c r="L13" s="2">
        <v>173.62</v>
      </c>
    </row>
    <row r="14" spans="1:12" x14ac:dyDescent="0.2">
      <c r="A14" t="s">
        <v>20</v>
      </c>
      <c r="B14" t="s">
        <v>21</v>
      </c>
      <c r="C14" s="2">
        <v>126.446</v>
      </c>
      <c r="D14" s="2">
        <v>122.077</v>
      </c>
      <c r="E14" s="2">
        <v>114.598</v>
      </c>
      <c r="F14" s="2">
        <v>100</v>
      </c>
      <c r="G14" s="2">
        <v>114.86499999999999</v>
      </c>
      <c r="H14" s="2">
        <v>161.94900000000001</v>
      </c>
      <c r="I14" s="2">
        <v>144.12700000000001</v>
      </c>
      <c r="J14" s="2">
        <v>133.33000000000001</v>
      </c>
      <c r="K14" s="2">
        <v>143.24199999999999</v>
      </c>
      <c r="L14" s="2">
        <v>144.178</v>
      </c>
    </row>
    <row r="15" spans="1:12" x14ac:dyDescent="0.2">
      <c r="A15" t="s">
        <v>22</v>
      </c>
      <c r="B15" t="s">
        <v>144</v>
      </c>
      <c r="C15" s="2">
        <v>66.7</v>
      </c>
      <c r="D15" s="2">
        <v>75.22</v>
      </c>
      <c r="E15" s="2">
        <v>80.561000000000007</v>
      </c>
      <c r="F15" s="2">
        <v>100</v>
      </c>
      <c r="G15" s="2">
        <v>105.687</v>
      </c>
      <c r="H15" s="2">
        <v>100.286</v>
      </c>
      <c r="I15" s="2">
        <v>117.44199999999999</v>
      </c>
      <c r="J15" s="2">
        <v>101.97799999999999</v>
      </c>
      <c r="K15" s="2">
        <v>108.955</v>
      </c>
      <c r="L15" s="2">
        <v>120.98</v>
      </c>
    </row>
    <row r="16" spans="1:12" x14ac:dyDescent="0.2">
      <c r="A16" t="s">
        <v>24</v>
      </c>
      <c r="B16" t="s">
        <v>23</v>
      </c>
      <c r="C16" s="2">
        <v>95.899000000000001</v>
      </c>
      <c r="D16" s="2">
        <v>100.786</v>
      </c>
      <c r="E16" s="2">
        <v>100.57899999999999</v>
      </c>
      <c r="F16" s="2">
        <v>100</v>
      </c>
      <c r="G16" s="2">
        <v>100.63</v>
      </c>
      <c r="H16" s="2">
        <v>105.119</v>
      </c>
      <c r="I16" s="2">
        <v>117.242</v>
      </c>
      <c r="J16" s="2">
        <v>128.43199999999999</v>
      </c>
      <c r="K16" s="2">
        <v>129.89599999999999</v>
      </c>
      <c r="L16" s="2">
        <v>142.41200000000001</v>
      </c>
    </row>
    <row r="17" spans="1:12" x14ac:dyDescent="0.2">
      <c r="A17" t="s">
        <v>26</v>
      </c>
      <c r="B17" t="s">
        <v>25</v>
      </c>
      <c r="C17" s="2">
        <v>93.117000000000004</v>
      </c>
      <c r="D17" s="2">
        <v>98.38</v>
      </c>
      <c r="E17" s="2">
        <v>100.56399999999999</v>
      </c>
      <c r="F17" s="2">
        <v>100</v>
      </c>
      <c r="G17" s="2">
        <v>104.96</v>
      </c>
      <c r="H17" s="2">
        <v>111.54600000000001</v>
      </c>
      <c r="I17" s="2">
        <v>135.93600000000001</v>
      </c>
      <c r="J17" s="2">
        <v>161.155</v>
      </c>
      <c r="K17" s="2">
        <v>156.56</v>
      </c>
      <c r="L17" s="2">
        <v>172.00700000000001</v>
      </c>
    </row>
    <row r="18" spans="1:12" x14ac:dyDescent="0.2">
      <c r="A18" t="s">
        <v>27</v>
      </c>
      <c r="B18" s="6" t="s">
        <v>140</v>
      </c>
      <c r="C18" s="2">
        <v>102.752</v>
      </c>
      <c r="D18" s="2">
        <v>105.58499999999999</v>
      </c>
      <c r="E18" s="2">
        <v>97.832999999999998</v>
      </c>
      <c r="F18" s="2">
        <v>100</v>
      </c>
      <c r="G18" s="2">
        <v>133.46700000000001</v>
      </c>
      <c r="H18" s="2">
        <v>138.738</v>
      </c>
      <c r="I18" s="2">
        <v>149.78299999999999</v>
      </c>
      <c r="J18" s="2">
        <v>162.33500000000001</v>
      </c>
      <c r="K18" s="2">
        <v>162.54400000000001</v>
      </c>
      <c r="L18" s="2">
        <v>178.89099999999999</v>
      </c>
    </row>
    <row r="19" spans="1:12" x14ac:dyDescent="0.2">
      <c r="A19" t="s">
        <v>29</v>
      </c>
      <c r="B19" t="s">
        <v>28</v>
      </c>
      <c r="C19" s="2">
        <v>89.236999999999995</v>
      </c>
      <c r="D19" s="2">
        <v>96.123999999999995</v>
      </c>
      <c r="E19" s="2">
        <v>99.813999999999993</v>
      </c>
      <c r="F19" s="2">
        <v>100</v>
      </c>
      <c r="G19" s="2">
        <v>102.172</v>
      </c>
      <c r="H19" s="2">
        <v>113.227</v>
      </c>
      <c r="I19" s="2">
        <v>160.18700000000001</v>
      </c>
      <c r="J19" s="2">
        <v>229.32300000000001</v>
      </c>
      <c r="K19" s="2">
        <v>211.54499999999999</v>
      </c>
      <c r="L19" s="2">
        <v>239.34800000000001</v>
      </c>
    </row>
    <row r="20" spans="1:12" x14ac:dyDescent="0.2">
      <c r="A20" t="s">
        <v>31</v>
      </c>
      <c r="B20" t="s">
        <v>30</v>
      </c>
      <c r="C20" s="2">
        <v>87.010999999999996</v>
      </c>
      <c r="D20" s="2">
        <v>97.551000000000002</v>
      </c>
      <c r="E20" s="2">
        <v>98.251000000000005</v>
      </c>
      <c r="F20" s="2">
        <v>100</v>
      </c>
      <c r="G20" s="2">
        <v>98.552000000000007</v>
      </c>
      <c r="H20" s="2">
        <v>102.212</v>
      </c>
      <c r="I20" s="2">
        <v>110.742</v>
      </c>
      <c r="J20" s="2">
        <v>120.071</v>
      </c>
      <c r="K20" s="2">
        <v>119.2</v>
      </c>
      <c r="L20" s="2">
        <v>125.175</v>
      </c>
    </row>
    <row r="21" spans="1:12" x14ac:dyDescent="0.2">
      <c r="A21" t="s">
        <v>33</v>
      </c>
      <c r="B21" t="s">
        <v>32</v>
      </c>
      <c r="C21" s="2">
        <v>108.288</v>
      </c>
      <c r="D21" s="2">
        <v>102.197</v>
      </c>
      <c r="E21" s="2">
        <v>105.976</v>
      </c>
      <c r="F21" s="2">
        <v>100</v>
      </c>
      <c r="G21" s="2">
        <v>116.378</v>
      </c>
      <c r="H21" s="2">
        <v>121.629</v>
      </c>
      <c r="I21" s="2">
        <v>142.22900000000001</v>
      </c>
      <c r="J21" s="2">
        <v>135.65600000000001</v>
      </c>
      <c r="K21" s="2">
        <v>142.86000000000001</v>
      </c>
      <c r="L21" s="2">
        <v>155.72900000000001</v>
      </c>
    </row>
    <row r="22" spans="1:12" x14ac:dyDescent="0.2">
      <c r="A22" t="s">
        <v>35</v>
      </c>
      <c r="B22" t="s">
        <v>34</v>
      </c>
      <c r="C22" s="2">
        <v>99.694999999999993</v>
      </c>
      <c r="D22" s="2">
        <v>104.145</v>
      </c>
      <c r="E22" s="2">
        <v>100.203</v>
      </c>
      <c r="F22" s="2">
        <v>100</v>
      </c>
      <c r="G22" s="2">
        <v>94.454999999999998</v>
      </c>
      <c r="H22" s="2">
        <v>99.218999999999994</v>
      </c>
      <c r="I22" s="2">
        <v>95.231999999999999</v>
      </c>
      <c r="J22" s="2">
        <v>87.447999999999993</v>
      </c>
      <c r="K22" s="2">
        <v>97.546999999999997</v>
      </c>
      <c r="L22" s="2">
        <v>106.774</v>
      </c>
    </row>
    <row r="23" spans="1:12" x14ac:dyDescent="0.2">
      <c r="A23" t="s">
        <v>37</v>
      </c>
      <c r="B23" t="s">
        <v>36</v>
      </c>
      <c r="C23" s="2">
        <v>105.517</v>
      </c>
      <c r="D23" s="2">
        <v>106.319</v>
      </c>
      <c r="E23" s="2">
        <v>108.294</v>
      </c>
      <c r="F23" s="2">
        <v>100</v>
      </c>
      <c r="G23" s="2">
        <v>101.68300000000001</v>
      </c>
      <c r="H23" s="2">
        <v>50.712000000000003</v>
      </c>
      <c r="I23" s="2">
        <v>40.756</v>
      </c>
      <c r="J23" s="2">
        <v>39.26</v>
      </c>
      <c r="K23" s="2">
        <v>44.732999999999997</v>
      </c>
      <c r="L23" s="2">
        <v>44.707999999999998</v>
      </c>
    </row>
    <row r="24" spans="1:12" x14ac:dyDescent="0.2">
      <c r="A24" t="s">
        <v>39</v>
      </c>
      <c r="B24" t="s">
        <v>38</v>
      </c>
      <c r="C24" s="2">
        <v>86.855000000000004</v>
      </c>
      <c r="D24" s="2">
        <v>95.599000000000004</v>
      </c>
      <c r="E24" s="2">
        <v>97.741</v>
      </c>
      <c r="F24" s="2">
        <v>100</v>
      </c>
      <c r="G24" s="2">
        <v>86.983999999999995</v>
      </c>
      <c r="H24" s="2">
        <v>88.462000000000003</v>
      </c>
      <c r="I24" s="2">
        <v>81.8</v>
      </c>
      <c r="J24" s="2">
        <v>76.429000000000002</v>
      </c>
      <c r="K24" s="2">
        <v>76.259</v>
      </c>
      <c r="L24" s="2">
        <v>78.096000000000004</v>
      </c>
    </row>
    <row r="25" spans="1:12" x14ac:dyDescent="0.2">
      <c r="A25" t="s">
        <v>41</v>
      </c>
      <c r="B25" t="s">
        <v>40</v>
      </c>
      <c r="C25" s="2">
        <v>118.32899999999999</v>
      </c>
      <c r="D25" s="2">
        <v>109.009</v>
      </c>
      <c r="E25" s="2">
        <v>98.444000000000003</v>
      </c>
      <c r="F25" s="2">
        <v>100</v>
      </c>
      <c r="G25" s="2">
        <v>107.149</v>
      </c>
      <c r="H25" s="2">
        <v>102.708</v>
      </c>
      <c r="I25" s="2">
        <v>92.04</v>
      </c>
      <c r="J25" s="2">
        <v>111.911</v>
      </c>
      <c r="K25" s="2">
        <v>127.56399999999999</v>
      </c>
      <c r="L25" s="2">
        <v>128.03100000000001</v>
      </c>
    </row>
    <row r="26" spans="1:12" x14ac:dyDescent="0.2">
      <c r="A26" t="s">
        <v>43</v>
      </c>
      <c r="B26" t="s">
        <v>42</v>
      </c>
      <c r="C26" s="2">
        <v>115.355</v>
      </c>
      <c r="D26" s="2">
        <v>108.036</v>
      </c>
      <c r="E26" s="2">
        <v>104.245</v>
      </c>
      <c r="F26" s="2">
        <v>100</v>
      </c>
      <c r="G26" s="2">
        <v>100.291</v>
      </c>
      <c r="H26" s="2">
        <v>89.971000000000004</v>
      </c>
      <c r="I26" s="2">
        <v>91.156000000000006</v>
      </c>
      <c r="J26" s="2">
        <v>117.056</v>
      </c>
      <c r="K26" s="2">
        <v>106.02</v>
      </c>
      <c r="L26" s="2">
        <v>105.99</v>
      </c>
    </row>
    <row r="27" spans="1:12" x14ac:dyDescent="0.2">
      <c r="A27" t="s">
        <v>45</v>
      </c>
      <c r="B27" t="s">
        <v>44</v>
      </c>
      <c r="C27" s="2">
        <v>142.45699999999999</v>
      </c>
      <c r="D27" s="2">
        <v>122.73399999999999</v>
      </c>
      <c r="E27" s="2">
        <v>87.334000000000003</v>
      </c>
      <c r="F27" s="2">
        <v>100</v>
      </c>
      <c r="G27" s="2">
        <v>129.09399999999999</v>
      </c>
      <c r="H27" s="2">
        <v>142.11799999999999</v>
      </c>
      <c r="I27" s="2">
        <v>80.064999999999998</v>
      </c>
      <c r="J27" s="2">
        <v>69.524000000000001</v>
      </c>
      <c r="K27" s="2">
        <v>231.69900000000001</v>
      </c>
      <c r="L27" s="2">
        <v>244.792</v>
      </c>
    </row>
    <row r="28" spans="1:12" x14ac:dyDescent="0.2">
      <c r="A28" t="s">
        <v>47</v>
      </c>
      <c r="B28" t="s">
        <v>46</v>
      </c>
      <c r="C28" s="2">
        <v>75.415000000000006</v>
      </c>
      <c r="D28" s="2">
        <v>76.965000000000003</v>
      </c>
      <c r="E28" s="2">
        <v>89.421999999999997</v>
      </c>
      <c r="F28" s="2">
        <v>100</v>
      </c>
      <c r="G28" s="2">
        <v>101.819</v>
      </c>
      <c r="H28" s="2">
        <v>104.971</v>
      </c>
      <c r="I28" s="2">
        <v>105.383</v>
      </c>
      <c r="J28" s="2">
        <v>129.827</v>
      </c>
      <c r="K28" s="2">
        <v>130.96700000000001</v>
      </c>
      <c r="L28" s="2">
        <v>117.803</v>
      </c>
    </row>
    <row r="29" spans="1:12" x14ac:dyDescent="0.2">
      <c r="A29" t="s">
        <v>49</v>
      </c>
      <c r="B29" t="s">
        <v>48</v>
      </c>
      <c r="C29" s="2">
        <v>75.277000000000001</v>
      </c>
      <c r="D29" s="2">
        <v>82.911000000000001</v>
      </c>
      <c r="E29" s="2">
        <v>105.57299999999999</v>
      </c>
      <c r="F29" s="2">
        <v>100</v>
      </c>
      <c r="G29" s="2">
        <v>101.53700000000001</v>
      </c>
      <c r="H29" s="2">
        <v>97.340999999999994</v>
      </c>
      <c r="I29" s="2">
        <v>90.998999999999995</v>
      </c>
      <c r="J29" s="2">
        <v>82.558999999999997</v>
      </c>
      <c r="K29" s="2">
        <v>85.864000000000004</v>
      </c>
      <c r="L29" s="2">
        <v>83.087999999999994</v>
      </c>
    </row>
    <row r="30" spans="1:12" x14ac:dyDescent="0.2">
      <c r="A30" t="s">
        <v>51</v>
      </c>
      <c r="B30" t="s">
        <v>50</v>
      </c>
      <c r="C30" s="2">
        <v>122.608</v>
      </c>
      <c r="D30" s="2">
        <v>116.261</v>
      </c>
      <c r="E30" s="2">
        <v>104.31100000000001</v>
      </c>
      <c r="F30" s="2">
        <v>100</v>
      </c>
      <c r="G30" s="2">
        <v>96.619</v>
      </c>
      <c r="H30" s="2">
        <v>99.974000000000004</v>
      </c>
      <c r="I30" s="2">
        <v>95.429000000000002</v>
      </c>
      <c r="J30" s="2">
        <v>109.14100000000001</v>
      </c>
      <c r="K30" s="2">
        <v>102.714</v>
      </c>
      <c r="L30" s="2">
        <v>117.157</v>
      </c>
    </row>
    <row r="31" spans="1:12" x14ac:dyDescent="0.2">
      <c r="A31" t="s">
        <v>53</v>
      </c>
      <c r="B31" t="s">
        <v>52</v>
      </c>
      <c r="C31" s="2">
        <v>124.563</v>
      </c>
      <c r="D31" s="2">
        <v>117.872</v>
      </c>
      <c r="E31" s="2">
        <v>105.246</v>
      </c>
      <c r="F31" s="2">
        <v>100</v>
      </c>
      <c r="G31" s="2">
        <v>96.59</v>
      </c>
      <c r="H31" s="2">
        <v>100.488</v>
      </c>
      <c r="I31" s="2">
        <v>95.858999999999995</v>
      </c>
      <c r="J31" s="2">
        <v>110.093</v>
      </c>
      <c r="K31" s="2">
        <v>103.19199999999999</v>
      </c>
      <c r="L31" s="2">
        <v>118.13500000000001</v>
      </c>
    </row>
    <row r="32" spans="1:12" x14ac:dyDescent="0.2">
      <c r="A32" t="s">
        <v>55</v>
      </c>
      <c r="B32" t="s">
        <v>54</v>
      </c>
      <c r="C32" s="2">
        <v>78.103999999999999</v>
      </c>
      <c r="D32" s="2">
        <v>79.137</v>
      </c>
      <c r="E32" s="2">
        <v>83.105999999999995</v>
      </c>
      <c r="F32" s="2">
        <v>100</v>
      </c>
      <c r="G32" s="2">
        <v>96.89</v>
      </c>
      <c r="H32" s="2">
        <v>88.102999999999994</v>
      </c>
      <c r="I32" s="2">
        <v>87.477999999999994</v>
      </c>
      <c r="J32" s="2">
        <v>92.206000000000003</v>
      </c>
      <c r="K32" s="2">
        <v>96.093999999999994</v>
      </c>
      <c r="L32" s="2">
        <v>103.157</v>
      </c>
    </row>
    <row r="33" spans="1:12" x14ac:dyDescent="0.2">
      <c r="A33" t="s">
        <v>57</v>
      </c>
      <c r="B33" t="s">
        <v>56</v>
      </c>
      <c r="C33" s="2">
        <v>104.46899999999999</v>
      </c>
      <c r="D33" s="2">
        <v>105.128</v>
      </c>
      <c r="E33" s="2">
        <v>97.231999999999999</v>
      </c>
      <c r="F33" s="2">
        <v>100</v>
      </c>
      <c r="G33" s="2">
        <v>98.367999999999995</v>
      </c>
      <c r="H33" s="2">
        <v>95.391000000000005</v>
      </c>
      <c r="I33" s="2">
        <v>83.84</v>
      </c>
      <c r="J33" s="2">
        <v>91.399000000000001</v>
      </c>
      <c r="K33" s="2">
        <v>87.906000000000006</v>
      </c>
      <c r="L33" s="2">
        <v>83.759</v>
      </c>
    </row>
    <row r="34" spans="1:12" x14ac:dyDescent="0.2">
      <c r="A34" t="s">
        <v>59</v>
      </c>
      <c r="B34" t="s">
        <v>58</v>
      </c>
      <c r="C34" s="2">
        <v>71.215999999999994</v>
      </c>
      <c r="D34" s="2">
        <v>86.07</v>
      </c>
      <c r="E34" s="2">
        <v>99.611000000000004</v>
      </c>
      <c r="F34" s="2">
        <v>100</v>
      </c>
      <c r="G34" s="2">
        <v>90.623999999999995</v>
      </c>
      <c r="H34" s="2">
        <v>84.433999999999997</v>
      </c>
      <c r="I34" s="2">
        <v>92.185000000000002</v>
      </c>
      <c r="J34" s="2">
        <v>83.403999999999996</v>
      </c>
      <c r="K34" s="2">
        <v>82.664000000000001</v>
      </c>
      <c r="L34" s="2">
        <v>96.228999999999999</v>
      </c>
    </row>
    <row r="35" spans="1:12" x14ac:dyDescent="0.2">
      <c r="A35" t="s">
        <v>61</v>
      </c>
      <c r="B35" t="s">
        <v>60</v>
      </c>
      <c r="C35" s="2">
        <v>71.234999999999999</v>
      </c>
      <c r="D35" s="2">
        <v>86.093000000000004</v>
      </c>
      <c r="E35" s="2">
        <v>99.635999999999996</v>
      </c>
      <c r="F35" s="2">
        <v>100</v>
      </c>
      <c r="G35" s="2">
        <v>90.622</v>
      </c>
      <c r="H35" s="2">
        <v>84.43</v>
      </c>
      <c r="I35" s="2">
        <v>92.18</v>
      </c>
      <c r="J35" s="2">
        <v>83.397999999999996</v>
      </c>
      <c r="K35" s="2">
        <v>82.650999999999996</v>
      </c>
      <c r="L35" s="2">
        <v>96.221000000000004</v>
      </c>
    </row>
    <row r="36" spans="1:12" ht="14.25" x14ac:dyDescent="0.2">
      <c r="A36" t="s">
        <v>63</v>
      </c>
      <c r="B36" s="6" t="s">
        <v>157</v>
      </c>
      <c r="C36" s="16" t="s">
        <v>163</v>
      </c>
      <c r="D36" s="16" t="s">
        <v>163</v>
      </c>
      <c r="E36" s="2">
        <v>5.8659999999999997</v>
      </c>
      <c r="F36" s="2">
        <v>100</v>
      </c>
      <c r="G36" s="2">
        <v>101.11799999999999</v>
      </c>
      <c r="H36" s="2">
        <v>96.585999999999999</v>
      </c>
      <c r="I36" s="2">
        <v>109.736</v>
      </c>
      <c r="J36" s="2">
        <v>107.047</v>
      </c>
      <c r="K36" s="2">
        <v>132.20500000000001</v>
      </c>
      <c r="L36" s="2">
        <v>127.515</v>
      </c>
    </row>
    <row r="37" spans="1:12" x14ac:dyDescent="0.2">
      <c r="A37" t="s">
        <v>64</v>
      </c>
      <c r="B37" t="s">
        <v>62</v>
      </c>
      <c r="C37" s="2">
        <v>79.742999999999995</v>
      </c>
      <c r="D37" s="2">
        <v>99.656999999999996</v>
      </c>
      <c r="E37" s="2">
        <v>97.206999999999994</v>
      </c>
      <c r="F37" s="2">
        <v>100</v>
      </c>
      <c r="G37" s="2">
        <v>105.617</v>
      </c>
      <c r="H37" s="2">
        <v>114.83799999999999</v>
      </c>
      <c r="I37" s="2">
        <v>122.887</v>
      </c>
      <c r="J37" s="2">
        <v>144.167</v>
      </c>
      <c r="K37" s="2">
        <v>154.21799999999999</v>
      </c>
      <c r="L37" s="2">
        <v>150.559</v>
      </c>
    </row>
    <row r="38" spans="1:12" ht="14.25" x14ac:dyDescent="0.2">
      <c r="A38" t="s">
        <v>66</v>
      </c>
      <c r="B38" s="6" t="s">
        <v>156</v>
      </c>
      <c r="C38" s="2">
        <v>75.605999999999995</v>
      </c>
      <c r="D38" s="2">
        <v>97.227999999999994</v>
      </c>
      <c r="E38" s="2">
        <v>96.424999999999997</v>
      </c>
      <c r="F38" s="2">
        <v>100</v>
      </c>
      <c r="G38" s="2">
        <v>106.752</v>
      </c>
      <c r="H38" s="2">
        <v>118.977</v>
      </c>
      <c r="I38" s="2">
        <v>132.86500000000001</v>
      </c>
      <c r="J38" s="2">
        <v>153.50399999999999</v>
      </c>
      <c r="K38" s="2">
        <v>163.89400000000001</v>
      </c>
      <c r="L38" s="2">
        <v>162.08600000000001</v>
      </c>
    </row>
    <row r="39" spans="1:12" x14ac:dyDescent="0.2">
      <c r="A39" t="s">
        <v>68</v>
      </c>
      <c r="B39" t="s">
        <v>65</v>
      </c>
      <c r="C39" s="2">
        <v>152.08199999999999</v>
      </c>
      <c r="D39" s="2">
        <v>122.057</v>
      </c>
      <c r="E39" s="2">
        <v>136.99100000000001</v>
      </c>
      <c r="F39" s="2">
        <v>100</v>
      </c>
      <c r="G39" s="2">
        <v>76.381</v>
      </c>
      <c r="H39" s="2">
        <v>77.438000000000002</v>
      </c>
      <c r="I39" s="2">
        <v>89.213999999999999</v>
      </c>
      <c r="J39" s="2">
        <v>87.483000000000004</v>
      </c>
      <c r="K39" s="2">
        <v>73.227000000000004</v>
      </c>
      <c r="L39" s="2">
        <v>60.6</v>
      </c>
    </row>
    <row r="40" spans="1:12" x14ac:dyDescent="0.2">
      <c r="A40" t="s">
        <v>70</v>
      </c>
      <c r="B40" t="s">
        <v>67</v>
      </c>
      <c r="C40" s="2">
        <v>73.05</v>
      </c>
      <c r="D40" s="2">
        <v>95.944000000000003</v>
      </c>
      <c r="E40" s="2">
        <v>94.405000000000001</v>
      </c>
      <c r="F40" s="2">
        <v>100</v>
      </c>
      <c r="G40" s="2">
        <v>107.197</v>
      </c>
      <c r="H40" s="2">
        <v>120.502</v>
      </c>
      <c r="I40" s="2">
        <v>135.40199999999999</v>
      </c>
      <c r="J40" s="2">
        <v>156.91399999999999</v>
      </c>
      <c r="K40" s="2">
        <v>168.3</v>
      </c>
      <c r="L40" s="2">
        <v>166.869</v>
      </c>
    </row>
    <row r="41" spans="1:12" x14ac:dyDescent="0.2">
      <c r="A41" t="s">
        <v>71</v>
      </c>
      <c r="B41" t="s">
        <v>69</v>
      </c>
      <c r="C41" s="2">
        <v>116.09699999999999</v>
      </c>
      <c r="D41" s="2">
        <v>121.05800000000001</v>
      </c>
      <c r="E41" s="2">
        <v>133.43799999999999</v>
      </c>
      <c r="F41" s="2">
        <v>100</v>
      </c>
      <c r="G41" s="2">
        <v>104.205</v>
      </c>
      <c r="H41" s="2">
        <v>92.822999999999993</v>
      </c>
      <c r="I41" s="2">
        <v>82.68</v>
      </c>
      <c r="J41" s="2">
        <v>89.272000000000006</v>
      </c>
      <c r="K41" s="2">
        <v>85.619</v>
      </c>
      <c r="L41" s="2">
        <v>80.721000000000004</v>
      </c>
    </row>
    <row r="42" spans="1:12" ht="14.25" x14ac:dyDescent="0.2">
      <c r="A42" t="s">
        <v>73</v>
      </c>
      <c r="B42" s="6" t="s">
        <v>155</v>
      </c>
      <c r="C42" s="2">
        <v>105.14400000000001</v>
      </c>
      <c r="D42" s="2">
        <v>114.349</v>
      </c>
      <c r="E42" s="2">
        <v>101.916</v>
      </c>
      <c r="F42" s="2">
        <v>100</v>
      </c>
      <c r="G42" s="2">
        <v>98.733999999999995</v>
      </c>
      <c r="H42" s="2">
        <v>90.27</v>
      </c>
      <c r="I42" s="2">
        <v>65.436999999999998</v>
      </c>
      <c r="J42" s="2">
        <v>89.507999999999996</v>
      </c>
      <c r="K42" s="2">
        <v>97.233000000000004</v>
      </c>
      <c r="L42" s="2">
        <v>85.724999999999994</v>
      </c>
    </row>
    <row r="43" spans="1:12" x14ac:dyDescent="0.2">
      <c r="A43" t="s">
        <v>75</v>
      </c>
      <c r="B43" t="s">
        <v>72</v>
      </c>
      <c r="C43" s="2">
        <v>254.53200000000001</v>
      </c>
      <c r="D43" s="2">
        <v>216.429</v>
      </c>
      <c r="E43" s="2">
        <v>183.602</v>
      </c>
      <c r="F43" s="2">
        <v>100</v>
      </c>
      <c r="G43" s="2">
        <v>103.48399999999999</v>
      </c>
      <c r="H43" s="2">
        <v>92.272999999999996</v>
      </c>
      <c r="I43" s="2">
        <v>81.295000000000002</v>
      </c>
      <c r="J43" s="2">
        <v>87.941999999999993</v>
      </c>
      <c r="K43" s="2">
        <v>84.218999999999994</v>
      </c>
      <c r="L43" s="2">
        <v>79.215999999999994</v>
      </c>
    </row>
    <row r="44" spans="1:12" x14ac:dyDescent="0.2">
      <c r="A44" t="s">
        <v>77</v>
      </c>
      <c r="B44" t="s">
        <v>74</v>
      </c>
      <c r="C44" s="2">
        <v>91.394000000000005</v>
      </c>
      <c r="D44" s="2">
        <v>102.792</v>
      </c>
      <c r="E44" s="2">
        <v>121.101</v>
      </c>
      <c r="F44" s="2">
        <v>100</v>
      </c>
      <c r="G44" s="2">
        <v>103.48399999999999</v>
      </c>
      <c r="H44" s="2">
        <v>92.272999999999996</v>
      </c>
      <c r="I44" s="2">
        <v>81.295000000000002</v>
      </c>
      <c r="J44" s="2">
        <v>87.941999999999993</v>
      </c>
      <c r="K44" s="2">
        <v>84.218999999999994</v>
      </c>
      <c r="L44" s="2">
        <v>79.215999999999994</v>
      </c>
    </row>
    <row r="45" spans="1:12" x14ac:dyDescent="0.2">
      <c r="A45" t="s">
        <v>79</v>
      </c>
      <c r="B45" t="s">
        <v>76</v>
      </c>
      <c r="C45" s="2">
        <v>54.664999999999999</v>
      </c>
      <c r="D45" s="2">
        <v>83.513000000000005</v>
      </c>
      <c r="E45" s="2">
        <v>29.623000000000001</v>
      </c>
      <c r="F45" s="2">
        <v>100</v>
      </c>
      <c r="G45" s="2">
        <v>100.892</v>
      </c>
      <c r="H45" s="2">
        <v>68.540000000000006</v>
      </c>
      <c r="I45" s="2">
        <v>20.786999999999999</v>
      </c>
      <c r="J45" s="2">
        <v>50.033999999999999</v>
      </c>
      <c r="K45" s="2">
        <v>62.127000000000002</v>
      </c>
      <c r="L45" s="2">
        <v>40.314999999999998</v>
      </c>
    </row>
    <row r="46" spans="1:12" x14ac:dyDescent="0.2">
      <c r="A46" t="s">
        <v>81</v>
      </c>
      <c r="B46" t="s">
        <v>78</v>
      </c>
      <c r="C46" s="2">
        <v>123.84399999999999</v>
      </c>
      <c r="D46" s="2">
        <v>136.351</v>
      </c>
      <c r="E46" s="2">
        <v>93.850999999999999</v>
      </c>
      <c r="F46" s="2">
        <v>100</v>
      </c>
      <c r="G46" s="2">
        <v>96.054000000000002</v>
      </c>
      <c r="H46" s="2">
        <v>102.559</v>
      </c>
      <c r="I46" s="2">
        <v>70.242000000000004</v>
      </c>
      <c r="J46" s="2">
        <v>109.569</v>
      </c>
      <c r="K46" s="2">
        <v>138.75200000000001</v>
      </c>
      <c r="L46" s="2">
        <v>126.00700000000001</v>
      </c>
    </row>
    <row r="47" spans="1:12" x14ac:dyDescent="0.2">
      <c r="A47" t="s">
        <v>83</v>
      </c>
      <c r="B47" t="s">
        <v>80</v>
      </c>
      <c r="C47" s="2">
        <v>103.077</v>
      </c>
      <c r="D47" s="2">
        <v>109.084</v>
      </c>
      <c r="E47" s="2">
        <v>103.93</v>
      </c>
      <c r="F47" s="2">
        <v>100</v>
      </c>
      <c r="G47" s="2">
        <v>97.254999999999995</v>
      </c>
      <c r="H47" s="2">
        <v>86.54</v>
      </c>
      <c r="I47" s="2">
        <v>63.02</v>
      </c>
      <c r="J47" s="2">
        <v>86.774000000000001</v>
      </c>
      <c r="K47" s="2">
        <v>88.034999999999997</v>
      </c>
      <c r="L47" s="2">
        <v>76.019000000000005</v>
      </c>
    </row>
    <row r="48" spans="1:12" x14ac:dyDescent="0.2">
      <c r="A48" t="s">
        <v>85</v>
      </c>
      <c r="B48" t="s">
        <v>82</v>
      </c>
      <c r="C48" s="2">
        <v>92.722999999999999</v>
      </c>
      <c r="D48" s="2">
        <v>94.882000000000005</v>
      </c>
      <c r="E48" s="2">
        <v>96.116</v>
      </c>
      <c r="F48" s="2">
        <v>100</v>
      </c>
      <c r="G48" s="2">
        <v>103.556</v>
      </c>
      <c r="H48" s="2">
        <v>104.759</v>
      </c>
      <c r="I48" s="2">
        <v>86.134</v>
      </c>
      <c r="J48" s="2">
        <v>101.729</v>
      </c>
      <c r="K48" s="2">
        <v>108.367</v>
      </c>
      <c r="L48" s="2">
        <v>112.063</v>
      </c>
    </row>
    <row r="49" spans="1:12" x14ac:dyDescent="0.2">
      <c r="A49" t="s">
        <v>87</v>
      </c>
      <c r="B49" t="s">
        <v>84</v>
      </c>
      <c r="C49" s="2">
        <v>104.783</v>
      </c>
      <c r="D49" s="2">
        <v>95.001000000000005</v>
      </c>
      <c r="E49" s="2">
        <v>85.253</v>
      </c>
      <c r="F49" s="2">
        <v>100</v>
      </c>
      <c r="G49" s="2">
        <v>106.91200000000001</v>
      </c>
      <c r="H49" s="2">
        <v>99.887</v>
      </c>
      <c r="I49" s="2">
        <v>92.433000000000007</v>
      </c>
      <c r="J49" s="2">
        <v>110.886</v>
      </c>
      <c r="K49" s="2">
        <v>128.363</v>
      </c>
      <c r="L49" s="2">
        <v>129.376</v>
      </c>
    </row>
    <row r="50" spans="1:12" x14ac:dyDescent="0.2">
      <c r="A50" t="s">
        <v>89</v>
      </c>
      <c r="B50" t="s">
        <v>86</v>
      </c>
      <c r="C50" s="2">
        <v>94.596999999999994</v>
      </c>
      <c r="D50" s="2">
        <v>82.090999999999994</v>
      </c>
      <c r="E50" s="2">
        <v>68.519000000000005</v>
      </c>
      <c r="F50" s="2">
        <v>100</v>
      </c>
      <c r="G50" s="2">
        <v>108.02</v>
      </c>
      <c r="H50" s="2">
        <v>99.424999999999997</v>
      </c>
      <c r="I50" s="2">
        <v>108.383</v>
      </c>
      <c r="J50" s="2">
        <v>127.714</v>
      </c>
      <c r="K50" s="2">
        <v>141.77099999999999</v>
      </c>
      <c r="L50" s="2">
        <v>142.88399999999999</v>
      </c>
    </row>
    <row r="51" spans="1:12" x14ac:dyDescent="0.2">
      <c r="A51" t="s">
        <v>91</v>
      </c>
      <c r="B51" t="s">
        <v>88</v>
      </c>
      <c r="C51" s="2">
        <v>122.973</v>
      </c>
      <c r="D51" s="2">
        <v>118.044</v>
      </c>
      <c r="E51" s="2">
        <v>115.123</v>
      </c>
      <c r="F51" s="2">
        <v>100</v>
      </c>
      <c r="G51" s="2">
        <v>104.94799999999999</v>
      </c>
      <c r="H51" s="2">
        <v>100.693</v>
      </c>
      <c r="I51" s="2">
        <v>64.341999999999999</v>
      </c>
      <c r="J51" s="2">
        <v>81.215999999999994</v>
      </c>
      <c r="K51" s="2">
        <v>104.75700000000001</v>
      </c>
      <c r="L51" s="2">
        <v>105.59</v>
      </c>
    </row>
    <row r="52" spans="1:12" x14ac:dyDescent="0.2">
      <c r="A52" t="s">
        <v>93</v>
      </c>
      <c r="B52" t="s">
        <v>90</v>
      </c>
      <c r="C52" s="2">
        <v>46.539000000000001</v>
      </c>
      <c r="D52" s="2">
        <v>55.170999999999999</v>
      </c>
      <c r="E52" s="2">
        <v>78.866</v>
      </c>
      <c r="F52" s="2">
        <v>100</v>
      </c>
      <c r="G52" s="2">
        <v>99.631</v>
      </c>
      <c r="H52" s="2">
        <v>95.213999999999999</v>
      </c>
      <c r="I52" s="2">
        <v>98.682000000000002</v>
      </c>
      <c r="J52" s="2">
        <v>112.774</v>
      </c>
      <c r="K52" s="2">
        <v>101.03100000000001</v>
      </c>
      <c r="L52" s="2">
        <v>101.504</v>
      </c>
    </row>
    <row r="53" spans="1:12" x14ac:dyDescent="0.2">
      <c r="A53" t="s">
        <v>95</v>
      </c>
      <c r="B53" t="s">
        <v>92</v>
      </c>
      <c r="C53" s="2">
        <v>103.465</v>
      </c>
      <c r="D53" s="2">
        <v>103.675</v>
      </c>
      <c r="E53" s="2">
        <v>101.431</v>
      </c>
      <c r="F53" s="2">
        <v>100</v>
      </c>
      <c r="G53" s="2">
        <v>100.51600000000001</v>
      </c>
      <c r="H53" s="2">
        <v>106.82599999999999</v>
      </c>
      <c r="I53" s="2">
        <v>95.289000000000001</v>
      </c>
      <c r="J53" s="2">
        <v>102.018</v>
      </c>
      <c r="K53" s="2">
        <v>102.884</v>
      </c>
      <c r="L53" s="2">
        <v>107.09399999999999</v>
      </c>
    </row>
    <row r="54" spans="1:12" x14ac:dyDescent="0.2">
      <c r="A54" t="s">
        <v>97</v>
      </c>
      <c r="B54" t="s">
        <v>94</v>
      </c>
      <c r="C54" s="2">
        <v>96.998000000000005</v>
      </c>
      <c r="D54" s="2">
        <v>97.543000000000006</v>
      </c>
      <c r="E54" s="2">
        <v>101.32</v>
      </c>
      <c r="F54" s="2">
        <v>100</v>
      </c>
      <c r="G54" s="2">
        <v>99.298000000000002</v>
      </c>
      <c r="H54" s="2">
        <v>107.54</v>
      </c>
      <c r="I54" s="2">
        <v>76.075999999999993</v>
      </c>
      <c r="J54" s="2">
        <v>89.724999999999994</v>
      </c>
      <c r="K54" s="2">
        <v>102.863</v>
      </c>
      <c r="L54" s="2">
        <v>102.371</v>
      </c>
    </row>
    <row r="55" spans="1:12" x14ac:dyDescent="0.2">
      <c r="A55" t="s">
        <v>99</v>
      </c>
      <c r="B55" t="s">
        <v>96</v>
      </c>
      <c r="C55" s="2">
        <v>101.071</v>
      </c>
      <c r="D55" s="2">
        <v>104.21599999999999</v>
      </c>
      <c r="E55" s="2">
        <v>104.72499999999999</v>
      </c>
      <c r="F55" s="2">
        <v>100</v>
      </c>
      <c r="G55" s="2">
        <v>96.177000000000007</v>
      </c>
      <c r="H55" s="2">
        <v>101.747</v>
      </c>
      <c r="I55" s="2">
        <v>97.119</v>
      </c>
      <c r="J55" s="2">
        <v>98.941999999999993</v>
      </c>
      <c r="K55" s="2">
        <v>100.05</v>
      </c>
      <c r="L55" s="2">
        <v>102.081</v>
      </c>
    </row>
    <row r="56" spans="1:12" x14ac:dyDescent="0.2">
      <c r="A56" t="s">
        <v>101</v>
      </c>
      <c r="B56" t="s">
        <v>98</v>
      </c>
      <c r="C56" s="2">
        <v>191.36500000000001</v>
      </c>
      <c r="D56" s="2">
        <v>186.46199999999999</v>
      </c>
      <c r="E56" s="2">
        <v>198.786</v>
      </c>
      <c r="F56" s="2">
        <v>100</v>
      </c>
      <c r="G56" s="2">
        <v>87.269000000000005</v>
      </c>
      <c r="H56" s="2">
        <v>103.212</v>
      </c>
      <c r="I56" s="2">
        <v>149.06200000000001</v>
      </c>
      <c r="J56" s="2">
        <v>186.905</v>
      </c>
      <c r="K56" s="2">
        <v>141.99299999999999</v>
      </c>
      <c r="L56" s="2">
        <v>151.09800000000001</v>
      </c>
    </row>
    <row r="57" spans="1:12" x14ac:dyDescent="0.2">
      <c r="A57" t="s">
        <v>102</v>
      </c>
      <c r="B57" t="s">
        <v>100</v>
      </c>
      <c r="C57" s="2">
        <v>188.989</v>
      </c>
      <c r="D57" s="2">
        <v>172.601</v>
      </c>
      <c r="E57" s="2">
        <v>156.43799999999999</v>
      </c>
      <c r="F57" s="2">
        <v>100</v>
      </c>
      <c r="G57" s="2">
        <v>97.361999999999995</v>
      </c>
      <c r="H57" s="2">
        <v>95.373999999999995</v>
      </c>
      <c r="I57" s="2">
        <v>110.08799999999999</v>
      </c>
      <c r="J57" s="2">
        <v>113.151</v>
      </c>
      <c r="K57" s="2">
        <v>92.716999999999999</v>
      </c>
      <c r="L57" s="2">
        <v>100.86199999999999</v>
      </c>
    </row>
    <row r="58" spans="1:12" ht="14.25" x14ac:dyDescent="0.2">
      <c r="A58" t="s">
        <v>103</v>
      </c>
      <c r="B58" s="6" t="s">
        <v>154</v>
      </c>
      <c r="C58" s="2">
        <v>106.129</v>
      </c>
      <c r="D58" s="2">
        <v>102.45699999999999</v>
      </c>
      <c r="E58" s="2">
        <v>95.100999999999999</v>
      </c>
      <c r="F58" s="2">
        <v>100</v>
      </c>
      <c r="G58" s="2">
        <v>107.288</v>
      </c>
      <c r="H58" s="2">
        <v>114.416</v>
      </c>
      <c r="I58" s="2">
        <v>95.521000000000001</v>
      </c>
      <c r="J58" s="2">
        <v>108.358</v>
      </c>
      <c r="K58" s="2">
        <v>106.86799999999999</v>
      </c>
      <c r="L58" s="2">
        <v>115.07</v>
      </c>
    </row>
    <row r="59" spans="1:12" ht="14.25" x14ac:dyDescent="0.2">
      <c r="A59" t="s">
        <v>105</v>
      </c>
      <c r="B59" s="6" t="s">
        <v>153</v>
      </c>
      <c r="C59" s="2">
        <v>111.68</v>
      </c>
      <c r="D59" s="2">
        <v>116.066</v>
      </c>
      <c r="E59" s="2">
        <v>109.444</v>
      </c>
      <c r="F59" s="2">
        <v>100</v>
      </c>
      <c r="G59" s="2">
        <v>107.09</v>
      </c>
      <c r="H59" s="2">
        <v>125.462</v>
      </c>
      <c r="I59" s="2">
        <v>166.06</v>
      </c>
      <c r="J59" s="2">
        <v>165.64699999999999</v>
      </c>
      <c r="K59" s="2">
        <v>120.905</v>
      </c>
      <c r="L59" s="2">
        <v>124.056</v>
      </c>
    </row>
    <row r="60" spans="1:12" x14ac:dyDescent="0.2">
      <c r="A60" t="s">
        <v>107</v>
      </c>
      <c r="B60" t="s">
        <v>104</v>
      </c>
      <c r="C60" s="2">
        <v>92.412999999999997</v>
      </c>
      <c r="D60" s="2">
        <v>96.085999999999999</v>
      </c>
      <c r="E60" s="2">
        <v>97.513999999999996</v>
      </c>
      <c r="F60" s="2">
        <v>100</v>
      </c>
      <c r="G60" s="2">
        <v>103.949</v>
      </c>
      <c r="H60" s="2">
        <v>103.93</v>
      </c>
      <c r="I60" s="2">
        <v>97.733999999999995</v>
      </c>
      <c r="J60" s="2">
        <v>109.85299999999999</v>
      </c>
      <c r="K60" s="2">
        <v>111.524</v>
      </c>
      <c r="L60" s="2">
        <v>111.87</v>
      </c>
    </row>
    <row r="61" spans="1:12" x14ac:dyDescent="0.2">
      <c r="A61" t="s">
        <v>109</v>
      </c>
      <c r="B61" t="s">
        <v>106</v>
      </c>
      <c r="C61" s="2">
        <v>104.90300000000001</v>
      </c>
      <c r="D61" s="2">
        <v>89.563000000000002</v>
      </c>
      <c r="E61" s="2">
        <v>100.369</v>
      </c>
      <c r="F61" s="2">
        <v>100</v>
      </c>
      <c r="G61" s="2">
        <v>106.19499999999999</v>
      </c>
      <c r="H61" s="2">
        <v>104.902</v>
      </c>
      <c r="I61" s="2">
        <v>115.389</v>
      </c>
      <c r="J61" s="2">
        <v>94.353999999999999</v>
      </c>
      <c r="K61" s="2">
        <v>86.11</v>
      </c>
      <c r="L61" s="2">
        <v>99.382000000000005</v>
      </c>
    </row>
    <row r="62" spans="1:12" x14ac:dyDescent="0.2">
      <c r="A62" t="s">
        <v>111</v>
      </c>
      <c r="B62" t="s">
        <v>108</v>
      </c>
      <c r="C62" s="2">
        <v>96</v>
      </c>
      <c r="D62" s="2">
        <v>99.741</v>
      </c>
      <c r="E62" s="2">
        <v>100.235</v>
      </c>
      <c r="F62" s="2">
        <v>100</v>
      </c>
      <c r="G62" s="2">
        <v>97.32</v>
      </c>
      <c r="H62" s="2">
        <v>105.651</v>
      </c>
      <c r="I62" s="2">
        <v>99.593999999999994</v>
      </c>
      <c r="J62" s="2">
        <v>113.28700000000001</v>
      </c>
      <c r="K62" s="2">
        <v>108.917</v>
      </c>
      <c r="L62" s="2">
        <v>98.141999999999996</v>
      </c>
    </row>
    <row r="63" spans="1:12" x14ac:dyDescent="0.2">
      <c r="A63" t="s">
        <v>113</v>
      </c>
      <c r="B63" t="s">
        <v>110</v>
      </c>
      <c r="C63" s="2">
        <v>87.483000000000004</v>
      </c>
      <c r="D63" s="2">
        <v>89.507999999999996</v>
      </c>
      <c r="E63" s="2">
        <v>91.591999999999999</v>
      </c>
      <c r="F63" s="2">
        <v>100</v>
      </c>
      <c r="G63" s="2">
        <v>107.48099999999999</v>
      </c>
      <c r="H63" s="2">
        <v>104.604</v>
      </c>
      <c r="I63" s="2">
        <v>65.16</v>
      </c>
      <c r="J63" s="2">
        <v>101.90300000000001</v>
      </c>
      <c r="K63" s="2">
        <v>113.349</v>
      </c>
      <c r="L63" s="2">
        <v>114.004</v>
      </c>
    </row>
    <row r="64" spans="1:12" x14ac:dyDescent="0.2">
      <c r="A64" t="s">
        <v>114</v>
      </c>
      <c r="B64" t="s">
        <v>112</v>
      </c>
      <c r="C64" s="2">
        <v>99.114999999999995</v>
      </c>
      <c r="D64" s="2">
        <v>104.875</v>
      </c>
      <c r="E64" s="2">
        <v>102.261</v>
      </c>
      <c r="F64" s="2">
        <v>100</v>
      </c>
      <c r="G64" s="2">
        <v>97.436999999999998</v>
      </c>
      <c r="H64" s="2">
        <v>106.256</v>
      </c>
      <c r="I64" s="2">
        <v>153.566</v>
      </c>
      <c r="J64" s="2">
        <v>159.255</v>
      </c>
      <c r="K64" s="2">
        <v>160.721</v>
      </c>
      <c r="L64" s="2">
        <v>175.821</v>
      </c>
    </row>
    <row r="65" spans="1:12" x14ac:dyDescent="0.2">
      <c r="A65" t="s">
        <v>116</v>
      </c>
      <c r="B65" s="6" t="s">
        <v>142</v>
      </c>
      <c r="C65" s="2">
        <v>111.736</v>
      </c>
      <c r="D65" s="2">
        <v>112.142</v>
      </c>
      <c r="E65" s="2">
        <v>109.29900000000001</v>
      </c>
      <c r="F65" s="2">
        <v>100</v>
      </c>
      <c r="G65" s="2">
        <v>108.07</v>
      </c>
      <c r="H65" s="2">
        <v>107.40300000000001</v>
      </c>
      <c r="I65" s="2">
        <v>110.505</v>
      </c>
      <c r="J65" s="2">
        <v>120.07</v>
      </c>
      <c r="K65" s="2">
        <v>106.015</v>
      </c>
      <c r="L65" s="2">
        <v>102.015</v>
      </c>
    </row>
    <row r="66" spans="1:12" x14ac:dyDescent="0.2">
      <c r="A66" t="s">
        <v>118</v>
      </c>
      <c r="B66" t="s">
        <v>115</v>
      </c>
      <c r="C66" s="2">
        <v>103.964</v>
      </c>
      <c r="D66" s="2">
        <v>153.55099999999999</v>
      </c>
      <c r="E66" s="2">
        <v>119.28100000000001</v>
      </c>
      <c r="F66" s="2">
        <v>100</v>
      </c>
      <c r="G66" s="2">
        <v>88.016000000000005</v>
      </c>
      <c r="H66" s="2">
        <v>111.402</v>
      </c>
      <c r="I66" s="2">
        <v>101.51900000000001</v>
      </c>
      <c r="J66" s="2">
        <v>105.239</v>
      </c>
      <c r="K66" s="2">
        <v>112.58499999999999</v>
      </c>
      <c r="L66" s="2">
        <v>109.11499999999999</v>
      </c>
    </row>
    <row r="67" spans="1:12" x14ac:dyDescent="0.2">
      <c r="A67" t="s">
        <v>120</v>
      </c>
      <c r="B67" t="s">
        <v>117</v>
      </c>
      <c r="C67" s="2">
        <v>83.284000000000006</v>
      </c>
      <c r="D67" s="2">
        <v>90.814999999999998</v>
      </c>
      <c r="E67" s="2">
        <v>93.034999999999997</v>
      </c>
      <c r="F67" s="2">
        <v>100</v>
      </c>
      <c r="G67" s="2">
        <v>101.996</v>
      </c>
      <c r="H67" s="2">
        <v>101.77500000000001</v>
      </c>
      <c r="I67" s="2">
        <v>92.370999999999995</v>
      </c>
      <c r="J67" s="2">
        <v>105.15900000000001</v>
      </c>
      <c r="K67" s="2">
        <v>112.581</v>
      </c>
      <c r="L67" s="2">
        <v>110.646</v>
      </c>
    </row>
    <row r="68" spans="1:12" x14ac:dyDescent="0.2">
      <c r="A68" t="s">
        <v>122</v>
      </c>
      <c r="B68" t="s">
        <v>119</v>
      </c>
      <c r="C68" s="2">
        <v>90.706000000000003</v>
      </c>
      <c r="D68" s="2">
        <v>93.84</v>
      </c>
      <c r="E68" s="2">
        <v>96.186000000000007</v>
      </c>
      <c r="F68" s="2">
        <v>100</v>
      </c>
      <c r="G68" s="2">
        <v>103.803</v>
      </c>
      <c r="H68" s="2">
        <v>104.774</v>
      </c>
      <c r="I68" s="2">
        <v>78.834000000000003</v>
      </c>
      <c r="J68" s="2">
        <v>97.129000000000005</v>
      </c>
      <c r="K68" s="2">
        <v>107.096</v>
      </c>
      <c r="L68" s="2">
        <v>111.68</v>
      </c>
    </row>
    <row r="69" spans="1:12" x14ac:dyDescent="0.2">
      <c r="A69" t="s">
        <v>124</v>
      </c>
      <c r="B69" t="s">
        <v>121</v>
      </c>
      <c r="C69" s="2">
        <v>86.965999999999994</v>
      </c>
      <c r="D69" s="2">
        <v>89.953999999999994</v>
      </c>
      <c r="E69" s="2">
        <v>92.284999999999997</v>
      </c>
      <c r="F69" s="2">
        <v>100</v>
      </c>
      <c r="G69" s="2">
        <v>100.01300000000001</v>
      </c>
      <c r="H69" s="2">
        <v>95.253</v>
      </c>
      <c r="I69" s="2">
        <v>45.262</v>
      </c>
      <c r="J69" s="2">
        <v>84.177000000000007</v>
      </c>
      <c r="K69" s="2">
        <v>88.843999999999994</v>
      </c>
      <c r="L69" s="2">
        <v>89.298000000000002</v>
      </c>
    </row>
    <row r="70" spans="1:12" x14ac:dyDescent="0.2">
      <c r="A70" t="s">
        <v>126</v>
      </c>
      <c r="B70" t="s">
        <v>123</v>
      </c>
      <c r="C70" s="2">
        <v>95.061000000000007</v>
      </c>
      <c r="D70" s="2">
        <v>98.316999999999993</v>
      </c>
      <c r="E70" s="2">
        <v>97.715999999999994</v>
      </c>
      <c r="F70" s="2">
        <v>100</v>
      </c>
      <c r="G70" s="2">
        <v>102.036</v>
      </c>
      <c r="H70" s="2">
        <v>103.036</v>
      </c>
      <c r="I70" s="2">
        <v>94.105000000000004</v>
      </c>
      <c r="J70" s="2">
        <v>102.875</v>
      </c>
      <c r="K70" s="2">
        <v>110.68600000000001</v>
      </c>
      <c r="L70" s="2">
        <v>114.78700000000001</v>
      </c>
    </row>
    <row r="71" spans="1:12" x14ac:dyDescent="0.2">
      <c r="A71" t="s">
        <v>128</v>
      </c>
      <c r="B71" t="s">
        <v>125</v>
      </c>
      <c r="C71" s="2">
        <v>74.638999999999996</v>
      </c>
      <c r="D71" s="2">
        <v>84.367999999999995</v>
      </c>
      <c r="E71" s="2">
        <v>90.346000000000004</v>
      </c>
      <c r="F71" s="2">
        <v>100</v>
      </c>
      <c r="G71" s="2">
        <v>108.91200000000001</v>
      </c>
      <c r="H71" s="2">
        <v>105.086</v>
      </c>
      <c r="I71" s="2">
        <v>42.640999999999998</v>
      </c>
      <c r="J71" s="2">
        <v>54.906999999999996</v>
      </c>
      <c r="K71" s="2">
        <v>103.078</v>
      </c>
      <c r="L71" s="2">
        <v>120.029</v>
      </c>
    </row>
    <row r="72" spans="1:12" x14ac:dyDescent="0.2">
      <c r="A72" t="s">
        <v>130</v>
      </c>
      <c r="B72" t="s">
        <v>127</v>
      </c>
      <c r="C72" s="2">
        <v>78.3</v>
      </c>
      <c r="D72" s="2">
        <v>80.316000000000003</v>
      </c>
      <c r="E72" s="2">
        <v>93.867999999999995</v>
      </c>
      <c r="F72" s="2">
        <v>100</v>
      </c>
      <c r="G72" s="2">
        <v>113.99299999999999</v>
      </c>
      <c r="H72" s="2">
        <v>120.492</v>
      </c>
      <c r="I72" s="2">
        <v>45.610999999999997</v>
      </c>
      <c r="J72" s="2">
        <v>86.570999999999998</v>
      </c>
      <c r="K72" s="2">
        <v>106.43899999999999</v>
      </c>
      <c r="L72" s="2">
        <v>115.46599999999999</v>
      </c>
    </row>
    <row r="73" spans="1:12" x14ac:dyDescent="0.2">
      <c r="A73" t="s">
        <v>132</v>
      </c>
      <c r="B73" t="s">
        <v>129</v>
      </c>
      <c r="C73" s="2">
        <v>102.137</v>
      </c>
      <c r="D73" s="2">
        <v>101.527</v>
      </c>
      <c r="E73" s="2">
        <v>101.681</v>
      </c>
      <c r="F73" s="2">
        <v>100</v>
      </c>
      <c r="G73" s="2">
        <v>97.641000000000005</v>
      </c>
      <c r="H73" s="2">
        <v>99.384</v>
      </c>
      <c r="I73" s="2">
        <v>103.7</v>
      </c>
      <c r="J73" s="2">
        <v>106.863</v>
      </c>
      <c r="K73" s="2">
        <v>107.392</v>
      </c>
      <c r="L73" s="2">
        <v>103.96599999999999</v>
      </c>
    </row>
    <row r="74" spans="1:12" x14ac:dyDescent="0.2">
      <c r="A74" t="s">
        <v>134</v>
      </c>
      <c r="B74" t="s">
        <v>131</v>
      </c>
      <c r="C74" s="2">
        <v>102.318</v>
      </c>
      <c r="D74" s="2">
        <v>101.88200000000001</v>
      </c>
      <c r="E74" s="2">
        <v>101.964</v>
      </c>
      <c r="F74" s="2">
        <v>100</v>
      </c>
      <c r="G74" s="2">
        <v>96.891000000000005</v>
      </c>
      <c r="H74" s="2">
        <v>98.68</v>
      </c>
      <c r="I74" s="2">
        <v>102.938</v>
      </c>
      <c r="J74" s="2">
        <v>106.38</v>
      </c>
      <c r="K74" s="2">
        <v>106.791</v>
      </c>
      <c r="L74" s="2">
        <v>102.476</v>
      </c>
    </row>
    <row r="75" spans="1:12" x14ac:dyDescent="0.2">
      <c r="A75" t="s">
        <v>145</v>
      </c>
      <c r="B75" t="s">
        <v>133</v>
      </c>
      <c r="C75" s="2">
        <v>96.844999999999999</v>
      </c>
      <c r="D75" s="2">
        <v>93.007999999999996</v>
      </c>
      <c r="E75" s="2">
        <v>94.41</v>
      </c>
      <c r="F75" s="2">
        <v>100</v>
      </c>
      <c r="G75" s="2">
        <v>101.786</v>
      </c>
      <c r="H75" s="2">
        <v>102.133</v>
      </c>
      <c r="I75" s="2">
        <v>108.337</v>
      </c>
      <c r="J75" s="2">
        <v>108.616</v>
      </c>
      <c r="K75" s="2">
        <v>103.511</v>
      </c>
      <c r="L75" s="2">
        <v>110.401</v>
      </c>
    </row>
    <row r="76" spans="1:12" x14ac:dyDescent="0.2">
      <c r="A76" s="7" t="s">
        <v>146</v>
      </c>
      <c r="B76" s="7" t="s">
        <v>135</v>
      </c>
      <c r="C76" s="9">
        <v>109.42100000000001</v>
      </c>
      <c r="D76" s="9">
        <v>109.777</v>
      </c>
      <c r="E76" s="9">
        <v>109.75700000000001</v>
      </c>
      <c r="F76" s="9">
        <v>100</v>
      </c>
      <c r="G76" s="9">
        <v>123.706</v>
      </c>
      <c r="H76" s="9">
        <v>127.471</v>
      </c>
      <c r="I76" s="9">
        <v>128.947</v>
      </c>
      <c r="J76" s="9">
        <v>126.863</v>
      </c>
      <c r="K76" s="9">
        <v>149.852</v>
      </c>
      <c r="L76" s="9">
        <v>160.76499999999999</v>
      </c>
    </row>
    <row r="77" spans="1:12" ht="12.95" customHeight="1" x14ac:dyDescent="0.2">
      <c r="A77" s="21" t="s">
        <v>162</v>
      </c>
      <c r="B77" s="21"/>
      <c r="C77" s="21"/>
      <c r="D77" s="21"/>
      <c r="E77" s="21"/>
      <c r="F77" s="21"/>
      <c r="G77" s="21"/>
      <c r="H77" s="21"/>
      <c r="I77" s="21"/>
      <c r="J77" s="21"/>
      <c r="K77" s="21"/>
      <c r="L77" s="21"/>
    </row>
    <row r="78" spans="1:12" s="6" customFormat="1" ht="27.95" customHeight="1" x14ac:dyDescent="0.2">
      <c r="A78" s="17" t="s">
        <v>152</v>
      </c>
      <c r="B78" s="17"/>
      <c r="C78" s="17"/>
      <c r="D78" s="17"/>
      <c r="E78" s="17"/>
      <c r="F78" s="17"/>
      <c r="G78" s="17"/>
      <c r="H78" s="17"/>
      <c r="I78" s="17"/>
      <c r="J78" s="17"/>
      <c r="K78" s="17"/>
      <c r="L78" s="17"/>
    </row>
    <row r="79" spans="1:12" s="6" customFormat="1" ht="27.95" customHeight="1" x14ac:dyDescent="0.2">
      <c r="A79" s="17" t="s">
        <v>151</v>
      </c>
      <c r="B79" s="17"/>
      <c r="C79" s="17"/>
      <c r="D79" s="17"/>
      <c r="E79" s="17"/>
      <c r="F79" s="17"/>
      <c r="G79" s="17"/>
      <c r="H79" s="17"/>
      <c r="I79" s="17"/>
      <c r="J79" s="17"/>
      <c r="K79" s="17"/>
      <c r="L79" s="17"/>
    </row>
    <row r="80" spans="1:12" s="6" customFormat="1" ht="12.95" customHeight="1" x14ac:dyDescent="0.2">
      <c r="A80" s="17" t="s">
        <v>150</v>
      </c>
      <c r="B80" s="17"/>
      <c r="C80" s="17"/>
      <c r="D80" s="17"/>
      <c r="E80" s="17"/>
      <c r="F80" s="17"/>
      <c r="G80" s="17"/>
      <c r="H80" s="17"/>
      <c r="I80" s="17"/>
      <c r="J80" s="17"/>
      <c r="K80" s="17"/>
      <c r="L80" s="17"/>
    </row>
    <row r="81" spans="1:12" s="6" customFormat="1" ht="12.95" customHeight="1" x14ac:dyDescent="0.2">
      <c r="A81" s="17" t="s">
        <v>149</v>
      </c>
      <c r="B81" s="17"/>
      <c r="C81" s="17"/>
      <c r="D81" s="17"/>
      <c r="E81" s="17"/>
      <c r="F81" s="17"/>
      <c r="G81" s="17"/>
      <c r="H81" s="17"/>
      <c r="I81" s="17"/>
      <c r="J81" s="17"/>
      <c r="K81" s="17"/>
      <c r="L81" s="17"/>
    </row>
  </sheetData>
  <mergeCells count="7">
    <mergeCell ref="A81:L81"/>
    <mergeCell ref="A80:L80"/>
    <mergeCell ref="A1:L1"/>
    <mergeCell ref="A2:L2"/>
    <mergeCell ref="A77:L77"/>
    <mergeCell ref="A78:L78"/>
    <mergeCell ref="A79:L79"/>
  </mergeCells>
  <phoneticPr fontId="7" type="noConversion"/>
  <pageMargins left="0.75" right="0.75" top="1" bottom="1" header="0.5" footer="0.5"/>
  <pageSetup orientation="portrait" horizontalDpi="300" verticalDpi="300" r:id="rId1"/>
  <headerFooter alignWithMargins="0"/>
  <customProperties>
    <customPr name="SourceTableID"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668ED-B892-4384-BBFB-A45027740052}">
  <dimension ref="A1:L82"/>
  <sheetViews>
    <sheetView workbookViewId="0">
      <pane ySplit="3" topLeftCell="A4" activePane="bottomLeft" state="frozen"/>
      <selection sqref="A1:L1"/>
      <selection pane="bottomLeft" sqref="A1:K1"/>
    </sheetView>
  </sheetViews>
  <sheetFormatPr defaultRowHeight="12.75" x14ac:dyDescent="0.2"/>
  <cols>
    <col min="2" max="2" width="70.7109375" customWidth="1"/>
    <col min="3" max="12" width="9.7109375" customWidth="1"/>
  </cols>
  <sheetData>
    <row r="1" spans="1:11" ht="18" x14ac:dyDescent="0.25">
      <c r="A1" s="18" t="s">
        <v>160</v>
      </c>
      <c r="B1" s="18"/>
      <c r="C1" s="18"/>
      <c r="D1" s="18"/>
      <c r="E1" s="18"/>
      <c r="F1" s="18"/>
      <c r="G1" s="18"/>
      <c r="H1" s="18"/>
      <c r="I1" s="18"/>
      <c r="J1" s="18"/>
      <c r="K1" s="18"/>
    </row>
    <row r="2" spans="1:11" ht="16.5" customHeight="1" x14ac:dyDescent="0.25">
      <c r="A2" s="19"/>
      <c r="B2" s="22"/>
      <c r="C2" s="22"/>
      <c r="D2" s="22"/>
      <c r="E2" s="22"/>
      <c r="F2" s="22"/>
      <c r="G2" s="22"/>
    </row>
    <row r="3" spans="1:11" x14ac:dyDescent="0.2">
      <c r="A3" s="10" t="s">
        <v>0</v>
      </c>
      <c r="B3" s="10" t="s">
        <v>0</v>
      </c>
      <c r="C3" s="10">
        <v>2015</v>
      </c>
      <c r="D3" s="10">
        <v>2016</v>
      </c>
      <c r="E3" s="10">
        <v>2017</v>
      </c>
      <c r="F3" s="10">
        <v>2018</v>
      </c>
      <c r="G3" s="10">
        <v>2019</v>
      </c>
      <c r="H3" s="10">
        <v>2020</v>
      </c>
      <c r="I3" s="10">
        <v>2021</v>
      </c>
      <c r="J3" s="10">
        <v>2022</v>
      </c>
      <c r="K3" s="10">
        <v>2023</v>
      </c>
    </row>
    <row r="4" spans="1:11" x14ac:dyDescent="0.2">
      <c r="A4" s="1" t="s">
        <v>1</v>
      </c>
      <c r="B4" s="1" t="s">
        <v>141</v>
      </c>
      <c r="C4" s="1">
        <v>0.6</v>
      </c>
      <c r="D4" s="1">
        <v>-0.6</v>
      </c>
      <c r="E4" s="1">
        <v>0.8</v>
      </c>
      <c r="F4" s="1">
        <v>0.2</v>
      </c>
      <c r="G4" s="1">
        <v>1.5</v>
      </c>
      <c r="H4" s="1">
        <v>-5.3</v>
      </c>
      <c r="I4" s="1">
        <v>10.199999999999999</v>
      </c>
      <c r="J4" s="1">
        <v>2.7</v>
      </c>
      <c r="K4" s="1">
        <v>2.9</v>
      </c>
    </row>
    <row r="5" spans="1:11" x14ac:dyDescent="0.2">
      <c r="A5" t="s">
        <v>2</v>
      </c>
      <c r="B5" t="s">
        <v>3</v>
      </c>
      <c r="C5" s="13">
        <v>10.8</v>
      </c>
      <c r="D5" s="13">
        <v>4.4000000000000004</v>
      </c>
      <c r="E5" s="13">
        <v>9.1999999999999993</v>
      </c>
      <c r="F5" s="13">
        <v>-2.4</v>
      </c>
      <c r="G5" s="13">
        <v>2.9</v>
      </c>
      <c r="H5" s="13">
        <v>7.9</v>
      </c>
      <c r="I5" s="13">
        <v>12.9</v>
      </c>
      <c r="J5" s="13">
        <v>-1.1000000000000001</v>
      </c>
      <c r="K5" s="13">
        <v>8.8000000000000007</v>
      </c>
    </row>
    <row r="6" spans="1:11" x14ac:dyDescent="0.2">
      <c r="A6" t="s">
        <v>4</v>
      </c>
      <c r="B6" t="s">
        <v>5</v>
      </c>
      <c r="C6" s="13">
        <v>9.6</v>
      </c>
      <c r="D6" s="13">
        <v>3.9</v>
      </c>
      <c r="E6" s="13">
        <v>7.7</v>
      </c>
      <c r="F6" s="13">
        <v>-4.5999999999999996</v>
      </c>
      <c r="G6" s="13">
        <v>0.4</v>
      </c>
      <c r="H6" s="13">
        <v>1.5</v>
      </c>
      <c r="I6" s="13">
        <v>3.6</v>
      </c>
      <c r="J6" s="13">
        <v>-6.4</v>
      </c>
      <c r="K6" s="13">
        <v>3.1</v>
      </c>
    </row>
    <row r="7" spans="1:11" x14ac:dyDescent="0.2">
      <c r="A7" t="s">
        <v>6</v>
      </c>
      <c r="B7" t="s">
        <v>7</v>
      </c>
      <c r="C7" s="13">
        <v>6.7</v>
      </c>
      <c r="D7" s="13">
        <v>8.9</v>
      </c>
      <c r="E7" s="13">
        <v>7.3</v>
      </c>
      <c r="F7" s="13">
        <v>-3.9</v>
      </c>
      <c r="G7" s="13">
        <v>1.7</v>
      </c>
      <c r="H7" s="13">
        <v>-3.1</v>
      </c>
      <c r="I7" s="13">
        <v>4.8</v>
      </c>
      <c r="J7" s="13">
        <v>-7.1</v>
      </c>
      <c r="K7" s="13">
        <v>1.4</v>
      </c>
    </row>
    <row r="8" spans="1:11" x14ac:dyDescent="0.2">
      <c r="A8" t="s">
        <v>8</v>
      </c>
      <c r="B8" t="s">
        <v>9</v>
      </c>
      <c r="C8" s="13">
        <v>14.2</v>
      </c>
      <c r="D8" s="13">
        <v>-3.3</v>
      </c>
      <c r="E8" s="13">
        <v>8.1999999999999993</v>
      </c>
      <c r="F8" s="13">
        <v>-5.6</v>
      </c>
      <c r="G8" s="13">
        <v>-1.7</v>
      </c>
      <c r="H8" s="13">
        <v>8.3000000000000007</v>
      </c>
      <c r="I8" s="13">
        <v>2</v>
      </c>
      <c r="J8" s="13">
        <v>-5.4</v>
      </c>
      <c r="K8" s="13">
        <v>5.7</v>
      </c>
    </row>
    <row r="9" spans="1:11" x14ac:dyDescent="0.2">
      <c r="A9" t="s">
        <v>10</v>
      </c>
      <c r="B9" t="s">
        <v>11</v>
      </c>
      <c r="C9" s="13">
        <v>36.9</v>
      </c>
      <c r="D9" s="13">
        <v>6.2</v>
      </c>
      <c r="E9" s="13">
        <v>-32</v>
      </c>
      <c r="F9" s="13">
        <v>0.3</v>
      </c>
      <c r="G9" s="13">
        <v>-8.4</v>
      </c>
      <c r="H9" s="13">
        <v>12</v>
      </c>
      <c r="I9" s="13">
        <v>-19.399999999999999</v>
      </c>
      <c r="J9" s="13">
        <v>-7</v>
      </c>
      <c r="K9" s="13">
        <v>31.4</v>
      </c>
    </row>
    <row r="10" spans="1:11" x14ac:dyDescent="0.2">
      <c r="A10" t="s">
        <v>12</v>
      </c>
      <c r="B10" t="s">
        <v>13</v>
      </c>
      <c r="C10" s="13">
        <v>29.6</v>
      </c>
      <c r="D10" s="13">
        <v>11.4</v>
      </c>
      <c r="E10" s="13">
        <v>33.4</v>
      </c>
      <c r="F10" s="13">
        <v>21.7</v>
      </c>
      <c r="G10" s="13">
        <v>25.4</v>
      </c>
      <c r="H10" s="13">
        <v>52.4</v>
      </c>
      <c r="I10" s="13">
        <v>58.1</v>
      </c>
      <c r="J10" s="13">
        <v>17.5</v>
      </c>
      <c r="K10" s="13">
        <v>24.9</v>
      </c>
    </row>
    <row r="11" spans="1:11" x14ac:dyDescent="0.2">
      <c r="A11" t="s">
        <v>14</v>
      </c>
      <c r="B11" t="s">
        <v>15</v>
      </c>
      <c r="C11" s="13">
        <v>6.5</v>
      </c>
      <c r="D11" s="13">
        <v>20.5</v>
      </c>
      <c r="E11" s="13">
        <v>4.2</v>
      </c>
      <c r="F11" s="13">
        <v>-6.2</v>
      </c>
      <c r="G11" s="13">
        <v>21.7</v>
      </c>
      <c r="H11" s="13">
        <v>-2.5</v>
      </c>
      <c r="I11" s="13">
        <v>-13.6</v>
      </c>
      <c r="J11" s="13">
        <v>2.6</v>
      </c>
      <c r="K11" s="13">
        <v>8.6999999999999993</v>
      </c>
    </row>
    <row r="12" spans="1:11" x14ac:dyDescent="0.2">
      <c r="A12" t="s">
        <v>16</v>
      </c>
      <c r="B12" t="s">
        <v>17</v>
      </c>
      <c r="C12" s="13">
        <v>11.3</v>
      </c>
      <c r="D12" s="13">
        <v>31.4</v>
      </c>
      <c r="E12" s="13">
        <v>10.3</v>
      </c>
      <c r="F12" s="13">
        <v>-13.5</v>
      </c>
      <c r="G12" s="13">
        <v>5.9</v>
      </c>
      <c r="H12" s="13">
        <v>1.9</v>
      </c>
      <c r="I12" s="13">
        <v>-18.5</v>
      </c>
      <c r="J12" s="13">
        <v>4</v>
      </c>
      <c r="K12" s="13">
        <v>17.7</v>
      </c>
    </row>
    <row r="13" spans="1:11" x14ac:dyDescent="0.2">
      <c r="A13" t="s">
        <v>18</v>
      </c>
      <c r="B13" t="s">
        <v>19</v>
      </c>
      <c r="C13" s="13">
        <v>6.6</v>
      </c>
      <c r="D13" s="13">
        <v>36.299999999999997</v>
      </c>
      <c r="E13" s="13">
        <v>-12</v>
      </c>
      <c r="F13" s="13">
        <v>18.8</v>
      </c>
      <c r="G13" s="13">
        <v>141.30000000000001</v>
      </c>
      <c r="H13" s="13">
        <v>-8.4</v>
      </c>
      <c r="I13" s="13">
        <v>-0.2</v>
      </c>
      <c r="J13" s="13">
        <v>-14.8</v>
      </c>
      <c r="K13" s="13">
        <v>-22.2</v>
      </c>
    </row>
    <row r="14" spans="1:11" x14ac:dyDescent="0.2">
      <c r="A14" t="s">
        <v>20</v>
      </c>
      <c r="B14" t="s">
        <v>21</v>
      </c>
      <c r="C14" s="13">
        <v>-3.5</v>
      </c>
      <c r="D14" s="13">
        <v>-6.1</v>
      </c>
      <c r="E14" s="13">
        <v>-12.7</v>
      </c>
      <c r="F14" s="13">
        <v>14.9</v>
      </c>
      <c r="G14" s="13">
        <v>41</v>
      </c>
      <c r="H14" s="13">
        <v>-11</v>
      </c>
      <c r="I14" s="13">
        <v>-7.5</v>
      </c>
      <c r="J14" s="13">
        <v>7.4</v>
      </c>
      <c r="K14" s="13">
        <v>0.7</v>
      </c>
    </row>
    <row r="15" spans="1:11" x14ac:dyDescent="0.2">
      <c r="A15" t="s">
        <v>22</v>
      </c>
      <c r="B15" t="s">
        <v>144</v>
      </c>
      <c r="C15" s="13">
        <v>12.8</v>
      </c>
      <c r="D15" s="13">
        <v>7.1</v>
      </c>
      <c r="E15" s="13">
        <v>24.1</v>
      </c>
      <c r="F15" s="13">
        <v>5.7</v>
      </c>
      <c r="G15" s="13">
        <v>-5.0999999999999996</v>
      </c>
      <c r="H15" s="13">
        <v>17.100000000000001</v>
      </c>
      <c r="I15" s="13">
        <v>-13.2</v>
      </c>
      <c r="J15" s="13">
        <v>6.8</v>
      </c>
      <c r="K15" s="13">
        <v>11</v>
      </c>
    </row>
    <row r="16" spans="1:11" x14ac:dyDescent="0.2">
      <c r="A16" t="s">
        <v>24</v>
      </c>
      <c r="B16" t="s">
        <v>23</v>
      </c>
      <c r="C16" s="13">
        <v>5.0999999999999996</v>
      </c>
      <c r="D16" s="13">
        <v>-0.2</v>
      </c>
      <c r="E16" s="13">
        <v>-0.6</v>
      </c>
      <c r="F16" s="13">
        <v>0.6</v>
      </c>
      <c r="G16" s="13">
        <v>4.5</v>
      </c>
      <c r="H16" s="13">
        <v>11.5</v>
      </c>
      <c r="I16" s="13">
        <v>9.5</v>
      </c>
      <c r="J16" s="13">
        <v>1.1000000000000001</v>
      </c>
      <c r="K16" s="13">
        <v>9.6</v>
      </c>
    </row>
    <row r="17" spans="1:11" x14ac:dyDescent="0.2">
      <c r="A17" t="s">
        <v>26</v>
      </c>
      <c r="B17" t="s">
        <v>25</v>
      </c>
      <c r="C17" s="13">
        <v>5.7</v>
      </c>
      <c r="D17" s="13">
        <v>2.2000000000000002</v>
      </c>
      <c r="E17" s="13">
        <v>-0.6</v>
      </c>
      <c r="F17" s="13">
        <v>5</v>
      </c>
      <c r="G17" s="13">
        <v>6.3</v>
      </c>
      <c r="H17" s="13">
        <v>21.9</v>
      </c>
      <c r="I17" s="13">
        <v>18.600000000000001</v>
      </c>
      <c r="J17" s="13">
        <v>-2.9</v>
      </c>
      <c r="K17" s="13">
        <v>9.9</v>
      </c>
    </row>
    <row r="18" spans="1:11" x14ac:dyDescent="0.2">
      <c r="A18" t="s">
        <v>27</v>
      </c>
      <c r="B18" s="6" t="s">
        <v>140</v>
      </c>
      <c r="C18" s="13">
        <v>2.8</v>
      </c>
      <c r="D18" s="13">
        <v>-7.3</v>
      </c>
      <c r="E18" s="13">
        <v>2.2000000000000002</v>
      </c>
      <c r="F18" s="13">
        <v>33.5</v>
      </c>
      <c r="G18" s="13">
        <v>3.9</v>
      </c>
      <c r="H18" s="13">
        <v>8</v>
      </c>
      <c r="I18" s="13">
        <v>8.4</v>
      </c>
      <c r="J18" s="13">
        <v>0.1</v>
      </c>
      <c r="K18" s="13">
        <v>10.1</v>
      </c>
    </row>
    <row r="19" spans="1:11" x14ac:dyDescent="0.2">
      <c r="A19" t="s">
        <v>29</v>
      </c>
      <c r="B19" t="s">
        <v>28</v>
      </c>
      <c r="C19" s="13">
        <v>7.7</v>
      </c>
      <c r="D19" s="13">
        <v>3.8</v>
      </c>
      <c r="E19" s="13">
        <v>0.2</v>
      </c>
      <c r="F19" s="13">
        <v>2.2000000000000002</v>
      </c>
      <c r="G19" s="13">
        <v>10.8</v>
      </c>
      <c r="H19" s="13">
        <v>41.5</v>
      </c>
      <c r="I19" s="13">
        <v>43.2</v>
      </c>
      <c r="J19" s="13">
        <v>-7.8</v>
      </c>
      <c r="K19" s="13">
        <v>13.1</v>
      </c>
    </row>
    <row r="20" spans="1:11" x14ac:dyDescent="0.2">
      <c r="A20" t="s">
        <v>31</v>
      </c>
      <c r="B20" t="s">
        <v>30</v>
      </c>
      <c r="C20" s="13">
        <v>12.1</v>
      </c>
      <c r="D20" s="13">
        <v>0.7</v>
      </c>
      <c r="E20" s="13">
        <v>1.8</v>
      </c>
      <c r="F20" s="13">
        <v>-1.4</v>
      </c>
      <c r="G20" s="13">
        <v>3.7</v>
      </c>
      <c r="H20" s="13">
        <v>8.3000000000000007</v>
      </c>
      <c r="I20" s="13">
        <v>8.4</v>
      </c>
      <c r="J20" s="13">
        <v>-0.7</v>
      </c>
      <c r="K20" s="13">
        <v>5</v>
      </c>
    </row>
    <row r="21" spans="1:11" x14ac:dyDescent="0.2">
      <c r="A21" t="s">
        <v>33</v>
      </c>
      <c r="B21" t="s">
        <v>32</v>
      </c>
      <c r="C21" s="13">
        <v>-5.6</v>
      </c>
      <c r="D21" s="13">
        <v>3.7</v>
      </c>
      <c r="E21" s="13">
        <v>-5.6</v>
      </c>
      <c r="F21" s="13">
        <v>16.399999999999999</v>
      </c>
      <c r="G21" s="13">
        <v>4.5</v>
      </c>
      <c r="H21" s="13">
        <v>16.899999999999999</v>
      </c>
      <c r="I21" s="13">
        <v>-4.5999999999999996</v>
      </c>
      <c r="J21" s="13">
        <v>5.3</v>
      </c>
      <c r="K21" s="13">
        <v>9</v>
      </c>
    </row>
    <row r="22" spans="1:11" x14ac:dyDescent="0.2">
      <c r="A22" t="s">
        <v>35</v>
      </c>
      <c r="B22" t="s">
        <v>34</v>
      </c>
      <c r="C22" s="13">
        <v>4.5</v>
      </c>
      <c r="D22" s="13">
        <v>-3.8</v>
      </c>
      <c r="E22" s="13">
        <v>-0.2</v>
      </c>
      <c r="F22" s="13">
        <v>-5.5</v>
      </c>
      <c r="G22" s="13">
        <v>5</v>
      </c>
      <c r="H22" s="13">
        <v>-4</v>
      </c>
      <c r="I22" s="13">
        <v>-8.1999999999999993</v>
      </c>
      <c r="J22" s="13">
        <v>11.5</v>
      </c>
      <c r="K22" s="13">
        <v>9.5</v>
      </c>
    </row>
    <row r="23" spans="1:11" x14ac:dyDescent="0.2">
      <c r="A23" t="s">
        <v>37</v>
      </c>
      <c r="B23" t="s">
        <v>36</v>
      </c>
      <c r="C23" s="13">
        <v>0.8</v>
      </c>
      <c r="D23" s="13">
        <v>1.9</v>
      </c>
      <c r="E23" s="13">
        <v>-7.7</v>
      </c>
      <c r="F23" s="13">
        <v>1.7</v>
      </c>
      <c r="G23" s="13">
        <v>-50.1</v>
      </c>
      <c r="H23" s="13">
        <v>-19.600000000000001</v>
      </c>
      <c r="I23" s="13">
        <v>-3.7</v>
      </c>
      <c r="J23" s="13">
        <v>13.9</v>
      </c>
      <c r="K23" s="13">
        <v>-0.1</v>
      </c>
    </row>
    <row r="24" spans="1:11" x14ac:dyDescent="0.2">
      <c r="A24" t="s">
        <v>39</v>
      </c>
      <c r="B24" t="s">
        <v>38</v>
      </c>
      <c r="C24" s="13">
        <v>10.1</v>
      </c>
      <c r="D24" s="13">
        <v>2.2000000000000002</v>
      </c>
      <c r="E24" s="13">
        <v>2.2999999999999998</v>
      </c>
      <c r="F24" s="13">
        <v>-13</v>
      </c>
      <c r="G24" s="13">
        <v>1.7</v>
      </c>
      <c r="H24" s="13">
        <v>-7.5</v>
      </c>
      <c r="I24" s="13">
        <v>-6.6</v>
      </c>
      <c r="J24" s="13">
        <v>-0.2</v>
      </c>
      <c r="K24" s="13">
        <v>2.4</v>
      </c>
    </row>
    <row r="25" spans="1:11" x14ac:dyDescent="0.2">
      <c r="A25" t="s">
        <v>41</v>
      </c>
      <c r="B25" t="s">
        <v>40</v>
      </c>
      <c r="C25" s="13">
        <v>-7.9</v>
      </c>
      <c r="D25" s="13">
        <v>-9.6999999999999993</v>
      </c>
      <c r="E25" s="13">
        <v>1.6</v>
      </c>
      <c r="F25" s="13">
        <v>7.1</v>
      </c>
      <c r="G25" s="13">
        <v>-4.0999999999999996</v>
      </c>
      <c r="H25" s="13">
        <v>-10.4</v>
      </c>
      <c r="I25" s="13">
        <v>21.6</v>
      </c>
      <c r="J25" s="13">
        <v>14</v>
      </c>
      <c r="K25" s="13">
        <v>0.4</v>
      </c>
    </row>
    <row r="26" spans="1:11" x14ac:dyDescent="0.2">
      <c r="A26" t="s">
        <v>43</v>
      </c>
      <c r="B26" t="s">
        <v>42</v>
      </c>
      <c r="C26" s="13">
        <v>-6.3</v>
      </c>
      <c r="D26" s="13">
        <v>-3.5</v>
      </c>
      <c r="E26" s="13">
        <v>-4.0999999999999996</v>
      </c>
      <c r="F26" s="13">
        <v>0.3</v>
      </c>
      <c r="G26" s="13">
        <v>-10.3</v>
      </c>
      <c r="H26" s="13">
        <v>1.3</v>
      </c>
      <c r="I26" s="13">
        <v>28.4</v>
      </c>
      <c r="J26" s="13">
        <v>-9.4</v>
      </c>
      <c r="K26" s="13">
        <v>0</v>
      </c>
    </row>
    <row r="27" spans="1:11" x14ac:dyDescent="0.2">
      <c r="A27" t="s">
        <v>45</v>
      </c>
      <c r="B27" t="s">
        <v>44</v>
      </c>
      <c r="C27" s="13">
        <v>-13.8</v>
      </c>
      <c r="D27" s="13">
        <v>-28.8</v>
      </c>
      <c r="E27" s="13">
        <v>14.5</v>
      </c>
      <c r="F27" s="13">
        <v>29.1</v>
      </c>
      <c r="G27" s="13">
        <v>10.1</v>
      </c>
      <c r="H27" s="13">
        <v>-43.7</v>
      </c>
      <c r="I27" s="13">
        <v>-13.2</v>
      </c>
      <c r="J27" s="13">
        <v>233.3</v>
      </c>
      <c r="K27" s="13">
        <v>5.7</v>
      </c>
    </row>
    <row r="28" spans="1:11" x14ac:dyDescent="0.2">
      <c r="A28" t="s">
        <v>47</v>
      </c>
      <c r="B28" t="s">
        <v>46</v>
      </c>
      <c r="C28" s="13">
        <v>2.1</v>
      </c>
      <c r="D28" s="13">
        <v>16.2</v>
      </c>
      <c r="E28" s="13">
        <v>11.8</v>
      </c>
      <c r="F28" s="13">
        <v>1.8</v>
      </c>
      <c r="G28" s="13">
        <v>3.1</v>
      </c>
      <c r="H28" s="13">
        <v>0.4</v>
      </c>
      <c r="I28" s="13">
        <v>23.2</v>
      </c>
      <c r="J28" s="13">
        <v>0.9</v>
      </c>
      <c r="K28" s="13">
        <v>-10.1</v>
      </c>
    </row>
    <row r="29" spans="1:11" x14ac:dyDescent="0.2">
      <c r="A29" t="s">
        <v>49</v>
      </c>
      <c r="B29" t="s">
        <v>48</v>
      </c>
      <c r="C29" s="13">
        <v>10.1</v>
      </c>
      <c r="D29" s="13">
        <v>27.3</v>
      </c>
      <c r="E29" s="13">
        <v>-5.3</v>
      </c>
      <c r="F29" s="13">
        <v>1.5</v>
      </c>
      <c r="G29" s="13">
        <v>-4.0999999999999996</v>
      </c>
      <c r="H29" s="13">
        <v>-6.5</v>
      </c>
      <c r="I29" s="13">
        <v>-9.3000000000000007</v>
      </c>
      <c r="J29" s="13">
        <v>4</v>
      </c>
      <c r="K29" s="13">
        <v>-3.2</v>
      </c>
    </row>
    <row r="30" spans="1:11" x14ac:dyDescent="0.2">
      <c r="A30" t="s">
        <v>51</v>
      </c>
      <c r="B30" t="s">
        <v>50</v>
      </c>
      <c r="C30" s="13">
        <v>-5.2</v>
      </c>
      <c r="D30" s="13">
        <v>-10.3</v>
      </c>
      <c r="E30" s="13">
        <v>-4.0999999999999996</v>
      </c>
      <c r="F30" s="13">
        <v>-3.4</v>
      </c>
      <c r="G30" s="13">
        <v>3.5</v>
      </c>
      <c r="H30" s="13">
        <v>-4.5</v>
      </c>
      <c r="I30" s="13">
        <v>14.4</v>
      </c>
      <c r="J30" s="13">
        <v>-5.9</v>
      </c>
      <c r="K30" s="13">
        <v>14.1</v>
      </c>
    </row>
    <row r="31" spans="1:11" x14ac:dyDescent="0.2">
      <c r="A31" t="s">
        <v>53</v>
      </c>
      <c r="B31" t="s">
        <v>52</v>
      </c>
      <c r="C31" s="13">
        <v>-5.4</v>
      </c>
      <c r="D31" s="13">
        <v>-10.7</v>
      </c>
      <c r="E31" s="13">
        <v>-5</v>
      </c>
      <c r="F31" s="13">
        <v>-3.4</v>
      </c>
      <c r="G31" s="13">
        <v>4</v>
      </c>
      <c r="H31" s="13">
        <v>-4.5999999999999996</v>
      </c>
      <c r="I31" s="13">
        <v>14.8</v>
      </c>
      <c r="J31" s="13">
        <v>-6.3</v>
      </c>
      <c r="K31" s="13">
        <v>14.5</v>
      </c>
    </row>
    <row r="32" spans="1:11" x14ac:dyDescent="0.2">
      <c r="A32" t="s">
        <v>55</v>
      </c>
      <c r="B32" t="s">
        <v>54</v>
      </c>
      <c r="C32" s="13">
        <v>1.3</v>
      </c>
      <c r="D32" s="13">
        <v>5</v>
      </c>
      <c r="E32" s="13">
        <v>20.3</v>
      </c>
      <c r="F32" s="13">
        <v>-3.1</v>
      </c>
      <c r="G32" s="13">
        <v>-9.1</v>
      </c>
      <c r="H32" s="13">
        <v>-0.7</v>
      </c>
      <c r="I32" s="13">
        <v>5.4</v>
      </c>
      <c r="J32" s="13">
        <v>4.2</v>
      </c>
      <c r="K32" s="13">
        <v>7.4</v>
      </c>
    </row>
    <row r="33" spans="1:11" x14ac:dyDescent="0.2">
      <c r="A33" t="s">
        <v>57</v>
      </c>
      <c r="B33" t="s">
        <v>56</v>
      </c>
      <c r="C33" s="13">
        <v>0.6</v>
      </c>
      <c r="D33" s="13">
        <v>-7.5</v>
      </c>
      <c r="E33" s="13">
        <v>2.8</v>
      </c>
      <c r="F33" s="13">
        <v>-1.6</v>
      </c>
      <c r="G33" s="13">
        <v>-3</v>
      </c>
      <c r="H33" s="13">
        <v>-12.1</v>
      </c>
      <c r="I33" s="13">
        <v>9</v>
      </c>
      <c r="J33" s="13">
        <v>-3.8</v>
      </c>
      <c r="K33" s="13">
        <v>-4.7</v>
      </c>
    </row>
    <row r="34" spans="1:11" x14ac:dyDescent="0.2">
      <c r="A34" t="s">
        <v>59</v>
      </c>
      <c r="B34" t="s">
        <v>58</v>
      </c>
      <c r="C34" s="13">
        <v>20.9</v>
      </c>
      <c r="D34" s="13">
        <v>15.7</v>
      </c>
      <c r="E34" s="13">
        <v>0.4</v>
      </c>
      <c r="F34" s="13">
        <v>-9.4</v>
      </c>
      <c r="G34" s="13">
        <v>-6.8</v>
      </c>
      <c r="H34" s="13">
        <v>9.1999999999999993</v>
      </c>
      <c r="I34" s="13">
        <v>-9.5</v>
      </c>
      <c r="J34" s="13">
        <v>-0.9</v>
      </c>
      <c r="K34" s="13">
        <v>16.399999999999999</v>
      </c>
    </row>
    <row r="35" spans="1:11" x14ac:dyDescent="0.2">
      <c r="A35" t="s">
        <v>61</v>
      </c>
      <c r="B35" t="s">
        <v>60</v>
      </c>
      <c r="C35" s="13">
        <v>20.9</v>
      </c>
      <c r="D35" s="13">
        <v>15.7</v>
      </c>
      <c r="E35" s="13">
        <v>0.4</v>
      </c>
      <c r="F35" s="13">
        <v>-9.4</v>
      </c>
      <c r="G35" s="13">
        <v>-6.8</v>
      </c>
      <c r="H35" s="13">
        <v>9.1999999999999993</v>
      </c>
      <c r="I35" s="13">
        <v>-9.5</v>
      </c>
      <c r="J35" s="13">
        <v>-0.9</v>
      </c>
      <c r="K35" s="13">
        <v>16.399999999999999</v>
      </c>
    </row>
    <row r="36" spans="1:11" ht="14.25" x14ac:dyDescent="0.2">
      <c r="A36" t="s">
        <v>63</v>
      </c>
      <c r="B36" s="6" t="s">
        <v>157</v>
      </c>
      <c r="C36" s="16" t="s">
        <v>163</v>
      </c>
      <c r="D36" s="16" t="s">
        <v>163</v>
      </c>
      <c r="E36" s="13">
        <v>1604.8</v>
      </c>
      <c r="F36" s="13">
        <v>1.1000000000000001</v>
      </c>
      <c r="G36" s="13">
        <v>-4.5</v>
      </c>
      <c r="H36" s="13">
        <v>13.6</v>
      </c>
      <c r="I36" s="13">
        <v>-2.5</v>
      </c>
      <c r="J36" s="13">
        <v>23.5</v>
      </c>
      <c r="K36" s="13">
        <v>-3.5</v>
      </c>
    </row>
    <row r="37" spans="1:11" x14ac:dyDescent="0.2">
      <c r="A37" t="s">
        <v>64</v>
      </c>
      <c r="B37" t="s">
        <v>62</v>
      </c>
      <c r="C37" s="13">
        <v>25</v>
      </c>
      <c r="D37" s="13">
        <v>-2.5</v>
      </c>
      <c r="E37" s="13">
        <v>2.9</v>
      </c>
      <c r="F37" s="13">
        <v>5.6</v>
      </c>
      <c r="G37" s="13">
        <v>8.6999999999999993</v>
      </c>
      <c r="H37" s="13">
        <v>7</v>
      </c>
      <c r="I37" s="13">
        <v>17.3</v>
      </c>
      <c r="J37" s="13">
        <v>7</v>
      </c>
      <c r="K37" s="13">
        <v>-2.4</v>
      </c>
    </row>
    <row r="38" spans="1:11" ht="14.25" x14ac:dyDescent="0.2">
      <c r="A38" t="s">
        <v>66</v>
      </c>
      <c r="B38" s="6" t="s">
        <v>156</v>
      </c>
      <c r="C38" s="13">
        <v>28.6</v>
      </c>
      <c r="D38" s="13">
        <v>-0.8</v>
      </c>
      <c r="E38" s="13">
        <v>3.7</v>
      </c>
      <c r="F38" s="13">
        <v>6.8</v>
      </c>
      <c r="G38" s="13">
        <v>11.5</v>
      </c>
      <c r="H38" s="13">
        <v>11.7</v>
      </c>
      <c r="I38" s="13">
        <v>15.5</v>
      </c>
      <c r="J38" s="13">
        <v>6.8</v>
      </c>
      <c r="K38" s="13">
        <v>-1.1000000000000001</v>
      </c>
    </row>
    <row r="39" spans="1:11" x14ac:dyDescent="0.2">
      <c r="A39" t="s">
        <v>68</v>
      </c>
      <c r="B39" t="s">
        <v>65</v>
      </c>
      <c r="C39" s="13">
        <v>-19.7</v>
      </c>
      <c r="D39" s="13">
        <v>12.2</v>
      </c>
      <c r="E39" s="13">
        <v>-27</v>
      </c>
      <c r="F39" s="13">
        <v>-23.6</v>
      </c>
      <c r="G39" s="13">
        <v>1.4</v>
      </c>
      <c r="H39" s="13">
        <v>15.2</v>
      </c>
      <c r="I39" s="13">
        <v>-1.9</v>
      </c>
      <c r="J39" s="13">
        <v>-16.3</v>
      </c>
      <c r="K39" s="13">
        <v>-17.2</v>
      </c>
    </row>
    <row r="40" spans="1:11" x14ac:dyDescent="0.2">
      <c r="A40" t="s">
        <v>70</v>
      </c>
      <c r="B40" t="s">
        <v>67</v>
      </c>
      <c r="C40" s="13">
        <v>31.3</v>
      </c>
      <c r="D40" s="13">
        <v>-1.6</v>
      </c>
      <c r="E40" s="13">
        <v>5.9</v>
      </c>
      <c r="F40" s="13">
        <v>7.2</v>
      </c>
      <c r="G40" s="13">
        <v>12.4</v>
      </c>
      <c r="H40" s="13">
        <v>12.4</v>
      </c>
      <c r="I40" s="13">
        <v>15.9</v>
      </c>
      <c r="J40" s="13">
        <v>7.3</v>
      </c>
      <c r="K40" s="13">
        <v>-0.9</v>
      </c>
    </row>
    <row r="41" spans="1:11" x14ac:dyDescent="0.2">
      <c r="A41" t="s">
        <v>71</v>
      </c>
      <c r="B41" t="s">
        <v>69</v>
      </c>
      <c r="C41" s="13">
        <v>4.3</v>
      </c>
      <c r="D41" s="13">
        <v>10.199999999999999</v>
      </c>
      <c r="E41" s="13">
        <v>-25.1</v>
      </c>
      <c r="F41" s="13">
        <v>4.2</v>
      </c>
      <c r="G41" s="13">
        <v>-10.9</v>
      </c>
      <c r="H41" s="13">
        <v>-10.9</v>
      </c>
      <c r="I41" s="13">
        <v>8</v>
      </c>
      <c r="J41" s="13">
        <v>-4.0999999999999996</v>
      </c>
      <c r="K41" s="13">
        <v>-5.7</v>
      </c>
    </row>
    <row r="42" spans="1:11" ht="14.25" x14ac:dyDescent="0.2">
      <c r="A42" t="s">
        <v>73</v>
      </c>
      <c r="B42" s="6" t="s">
        <v>155</v>
      </c>
      <c r="C42" s="13">
        <v>8.8000000000000007</v>
      </c>
      <c r="D42" s="13">
        <v>-10.9</v>
      </c>
      <c r="E42" s="13">
        <v>-1.9</v>
      </c>
      <c r="F42" s="13">
        <v>-1.3</v>
      </c>
      <c r="G42" s="13">
        <v>-8.6</v>
      </c>
      <c r="H42" s="13">
        <v>-27.5</v>
      </c>
      <c r="I42" s="13">
        <v>36.799999999999997</v>
      </c>
      <c r="J42" s="13">
        <v>8.6</v>
      </c>
      <c r="K42" s="13">
        <v>-11.8</v>
      </c>
    </row>
    <row r="43" spans="1:11" x14ac:dyDescent="0.2">
      <c r="A43" t="s">
        <v>75</v>
      </c>
      <c r="B43" t="s">
        <v>72</v>
      </c>
      <c r="C43" s="13">
        <v>-15</v>
      </c>
      <c r="D43" s="13">
        <v>-15.2</v>
      </c>
      <c r="E43" s="13">
        <v>-45.5</v>
      </c>
      <c r="F43" s="13">
        <v>3.5</v>
      </c>
      <c r="G43" s="13">
        <v>-10.8</v>
      </c>
      <c r="H43" s="13">
        <v>-11.9</v>
      </c>
      <c r="I43" s="13">
        <v>8.1999999999999993</v>
      </c>
      <c r="J43" s="13">
        <v>-4.2</v>
      </c>
      <c r="K43" s="13">
        <v>-5.9</v>
      </c>
    </row>
    <row r="44" spans="1:11" x14ac:dyDescent="0.2">
      <c r="A44" t="s">
        <v>77</v>
      </c>
      <c r="B44" t="s">
        <v>74</v>
      </c>
      <c r="C44" s="13">
        <v>12.5</v>
      </c>
      <c r="D44" s="13">
        <v>17.8</v>
      </c>
      <c r="E44" s="13">
        <v>-17.399999999999999</v>
      </c>
      <c r="F44" s="13">
        <v>3.5</v>
      </c>
      <c r="G44" s="13">
        <v>-10.8</v>
      </c>
      <c r="H44" s="13">
        <v>-11.9</v>
      </c>
      <c r="I44" s="13">
        <v>8.1999999999999993</v>
      </c>
      <c r="J44" s="13">
        <v>-4.2</v>
      </c>
      <c r="K44" s="13">
        <v>-5.9</v>
      </c>
    </row>
    <row r="45" spans="1:11" x14ac:dyDescent="0.2">
      <c r="A45" t="s">
        <v>79</v>
      </c>
      <c r="B45" t="s">
        <v>76</v>
      </c>
      <c r="C45" s="13">
        <v>52.8</v>
      </c>
      <c r="D45" s="13">
        <v>-64.5</v>
      </c>
      <c r="E45" s="13">
        <v>237.6</v>
      </c>
      <c r="F45" s="13">
        <v>0.9</v>
      </c>
      <c r="G45" s="13">
        <v>-32.1</v>
      </c>
      <c r="H45" s="13">
        <v>-69.7</v>
      </c>
      <c r="I45" s="13">
        <v>140.69999999999999</v>
      </c>
      <c r="J45" s="13">
        <v>24.2</v>
      </c>
      <c r="K45" s="13">
        <v>-35.1</v>
      </c>
    </row>
    <row r="46" spans="1:11" x14ac:dyDescent="0.2">
      <c r="A46" t="s">
        <v>81</v>
      </c>
      <c r="B46" t="s">
        <v>78</v>
      </c>
      <c r="C46" s="13">
        <v>10.1</v>
      </c>
      <c r="D46" s="13">
        <v>-31.2</v>
      </c>
      <c r="E46" s="13">
        <v>6.6</v>
      </c>
      <c r="F46" s="13">
        <v>-3.9</v>
      </c>
      <c r="G46" s="13">
        <v>6.8</v>
      </c>
      <c r="H46" s="13">
        <v>-31.5</v>
      </c>
      <c r="I46" s="13">
        <v>56</v>
      </c>
      <c r="J46" s="13">
        <v>26.6</v>
      </c>
      <c r="K46" s="13">
        <v>-9.1999999999999993</v>
      </c>
    </row>
    <row r="47" spans="1:11" x14ac:dyDescent="0.2">
      <c r="A47" t="s">
        <v>83</v>
      </c>
      <c r="B47" t="s">
        <v>80</v>
      </c>
      <c r="C47" s="13">
        <v>5.8</v>
      </c>
      <c r="D47" s="13">
        <v>-4.7</v>
      </c>
      <c r="E47" s="13">
        <v>-3.8</v>
      </c>
      <c r="F47" s="13">
        <v>-2.7</v>
      </c>
      <c r="G47" s="13">
        <v>-11</v>
      </c>
      <c r="H47" s="13">
        <v>-27.2</v>
      </c>
      <c r="I47" s="13">
        <v>37.700000000000003</v>
      </c>
      <c r="J47" s="13">
        <v>1.5</v>
      </c>
      <c r="K47" s="13">
        <v>-13.6</v>
      </c>
    </row>
    <row r="48" spans="1:11" x14ac:dyDescent="0.2">
      <c r="A48" t="s">
        <v>85</v>
      </c>
      <c r="B48" t="s">
        <v>82</v>
      </c>
      <c r="C48" s="13">
        <v>2.2999999999999998</v>
      </c>
      <c r="D48" s="13">
        <v>1.3</v>
      </c>
      <c r="E48" s="13">
        <v>4</v>
      </c>
      <c r="F48" s="13">
        <v>3.6</v>
      </c>
      <c r="G48" s="13">
        <v>1.2</v>
      </c>
      <c r="H48" s="13">
        <v>-17.8</v>
      </c>
      <c r="I48" s="13">
        <v>18.100000000000001</v>
      </c>
      <c r="J48" s="13">
        <v>6.5</v>
      </c>
      <c r="K48" s="13">
        <v>3.4</v>
      </c>
    </row>
    <row r="49" spans="1:11" x14ac:dyDescent="0.2">
      <c r="A49" t="s">
        <v>87</v>
      </c>
      <c r="B49" t="s">
        <v>84</v>
      </c>
      <c r="C49" s="13">
        <v>-9.3000000000000007</v>
      </c>
      <c r="D49" s="13">
        <v>-10.3</v>
      </c>
      <c r="E49" s="13">
        <v>17.3</v>
      </c>
      <c r="F49" s="13">
        <v>6.9</v>
      </c>
      <c r="G49" s="13">
        <v>-6.6</v>
      </c>
      <c r="H49" s="13">
        <v>-7.5</v>
      </c>
      <c r="I49" s="13">
        <v>20</v>
      </c>
      <c r="J49" s="13">
        <v>15.8</v>
      </c>
      <c r="K49" s="13">
        <v>0.8</v>
      </c>
    </row>
    <row r="50" spans="1:11" x14ac:dyDescent="0.2">
      <c r="A50" t="s">
        <v>89</v>
      </c>
      <c r="B50" t="s">
        <v>86</v>
      </c>
      <c r="C50" s="13">
        <v>-13.2</v>
      </c>
      <c r="D50" s="13">
        <v>-16.5</v>
      </c>
      <c r="E50" s="13">
        <v>45.9</v>
      </c>
      <c r="F50" s="13">
        <v>8</v>
      </c>
      <c r="G50" s="13">
        <v>-8</v>
      </c>
      <c r="H50" s="13">
        <v>9</v>
      </c>
      <c r="I50" s="13">
        <v>17.8</v>
      </c>
      <c r="J50" s="13">
        <v>11</v>
      </c>
      <c r="K50" s="13">
        <v>0.8</v>
      </c>
    </row>
    <row r="51" spans="1:11" x14ac:dyDescent="0.2">
      <c r="A51" t="s">
        <v>91</v>
      </c>
      <c r="B51" t="s">
        <v>88</v>
      </c>
      <c r="C51" s="13">
        <v>-4</v>
      </c>
      <c r="D51" s="13">
        <v>-2.5</v>
      </c>
      <c r="E51" s="13">
        <v>-13.1</v>
      </c>
      <c r="F51" s="13">
        <v>4.9000000000000004</v>
      </c>
      <c r="G51" s="13">
        <v>-4.0999999999999996</v>
      </c>
      <c r="H51" s="13">
        <v>-36.1</v>
      </c>
      <c r="I51" s="13">
        <v>26.2</v>
      </c>
      <c r="J51" s="13">
        <v>29</v>
      </c>
      <c r="K51" s="13">
        <v>0.8</v>
      </c>
    </row>
    <row r="52" spans="1:11" x14ac:dyDescent="0.2">
      <c r="A52" t="s">
        <v>93</v>
      </c>
      <c r="B52" t="s">
        <v>90</v>
      </c>
      <c r="C52" s="13">
        <v>18.5</v>
      </c>
      <c r="D52" s="13">
        <v>42.9</v>
      </c>
      <c r="E52" s="13">
        <v>26.8</v>
      </c>
      <c r="F52" s="13">
        <v>-0.4</v>
      </c>
      <c r="G52" s="13">
        <v>-4.4000000000000004</v>
      </c>
      <c r="H52" s="13">
        <v>3.6</v>
      </c>
      <c r="I52" s="13">
        <v>14.3</v>
      </c>
      <c r="J52" s="13">
        <v>-10.4</v>
      </c>
      <c r="K52" s="13">
        <v>0.5</v>
      </c>
    </row>
    <row r="53" spans="1:11" x14ac:dyDescent="0.2">
      <c r="A53" t="s">
        <v>95</v>
      </c>
      <c r="B53" t="s">
        <v>92</v>
      </c>
      <c r="C53" s="13">
        <v>0.2</v>
      </c>
      <c r="D53" s="13">
        <v>-2.2000000000000002</v>
      </c>
      <c r="E53" s="13">
        <v>-1.4</v>
      </c>
      <c r="F53" s="13">
        <v>0.5</v>
      </c>
      <c r="G53" s="13">
        <v>6.3</v>
      </c>
      <c r="H53" s="13">
        <v>-10.8</v>
      </c>
      <c r="I53" s="13">
        <v>7.1</v>
      </c>
      <c r="J53" s="13">
        <v>0.8</v>
      </c>
      <c r="K53" s="13">
        <v>4.0999999999999996</v>
      </c>
    </row>
    <row r="54" spans="1:11" x14ac:dyDescent="0.2">
      <c r="A54" t="s">
        <v>97</v>
      </c>
      <c r="B54" t="s">
        <v>94</v>
      </c>
      <c r="C54" s="13">
        <v>0.6</v>
      </c>
      <c r="D54" s="13">
        <v>3.9</v>
      </c>
      <c r="E54" s="13">
        <v>-1.3</v>
      </c>
      <c r="F54" s="13">
        <v>-0.7</v>
      </c>
      <c r="G54" s="13">
        <v>8.3000000000000007</v>
      </c>
      <c r="H54" s="13">
        <v>-29.3</v>
      </c>
      <c r="I54" s="13">
        <v>17.899999999999999</v>
      </c>
      <c r="J54" s="13">
        <v>14.6</v>
      </c>
      <c r="K54" s="13">
        <v>-0.5</v>
      </c>
    </row>
    <row r="55" spans="1:11" x14ac:dyDescent="0.2">
      <c r="A55" t="s">
        <v>99</v>
      </c>
      <c r="B55" t="s">
        <v>96</v>
      </c>
      <c r="C55" s="13">
        <v>3.1</v>
      </c>
      <c r="D55" s="13">
        <v>0.5</v>
      </c>
      <c r="E55" s="13">
        <v>-4.5</v>
      </c>
      <c r="F55" s="13">
        <v>-3.8</v>
      </c>
      <c r="G55" s="13">
        <v>5.8</v>
      </c>
      <c r="H55" s="13">
        <v>-4.5</v>
      </c>
      <c r="I55" s="13">
        <v>1.9</v>
      </c>
      <c r="J55" s="13">
        <v>1.1000000000000001</v>
      </c>
      <c r="K55" s="13">
        <v>2</v>
      </c>
    </row>
    <row r="56" spans="1:11" x14ac:dyDescent="0.2">
      <c r="A56" t="s">
        <v>101</v>
      </c>
      <c r="B56" t="s">
        <v>98</v>
      </c>
      <c r="C56" s="13">
        <v>-2.6</v>
      </c>
      <c r="D56" s="13">
        <v>6.6</v>
      </c>
      <c r="E56" s="13">
        <v>-49.7</v>
      </c>
      <c r="F56" s="13">
        <v>-12.7</v>
      </c>
      <c r="G56" s="13">
        <v>18.3</v>
      </c>
      <c r="H56" s="13">
        <v>44.4</v>
      </c>
      <c r="I56" s="13">
        <v>25.4</v>
      </c>
      <c r="J56" s="13">
        <v>-24</v>
      </c>
      <c r="K56" s="13">
        <v>6.4</v>
      </c>
    </row>
    <row r="57" spans="1:11" x14ac:dyDescent="0.2">
      <c r="A57" t="s">
        <v>102</v>
      </c>
      <c r="B57" t="s">
        <v>100</v>
      </c>
      <c r="C57" s="13">
        <v>-8.6999999999999993</v>
      </c>
      <c r="D57" s="13">
        <v>-9.4</v>
      </c>
      <c r="E57" s="13">
        <v>-36.1</v>
      </c>
      <c r="F57" s="13">
        <v>-2.6</v>
      </c>
      <c r="G57" s="13">
        <v>-2</v>
      </c>
      <c r="H57" s="13">
        <v>15.4</v>
      </c>
      <c r="I57" s="13">
        <v>2.8</v>
      </c>
      <c r="J57" s="13">
        <v>-18.100000000000001</v>
      </c>
      <c r="K57" s="13">
        <v>8.8000000000000007</v>
      </c>
    </row>
    <row r="58" spans="1:11" ht="14.25" x14ac:dyDescent="0.2">
      <c r="A58" t="s">
        <v>103</v>
      </c>
      <c r="B58" s="6" t="s">
        <v>154</v>
      </c>
      <c r="C58" s="13">
        <v>-3.5</v>
      </c>
      <c r="D58" s="13">
        <v>-7.2</v>
      </c>
      <c r="E58" s="13">
        <v>5.2</v>
      </c>
      <c r="F58" s="13">
        <v>7.3</v>
      </c>
      <c r="G58" s="13">
        <v>6.6</v>
      </c>
      <c r="H58" s="13">
        <v>-16.5</v>
      </c>
      <c r="I58" s="13">
        <v>13.4</v>
      </c>
      <c r="J58" s="13">
        <v>-1.4</v>
      </c>
      <c r="K58" s="13">
        <v>7.7</v>
      </c>
    </row>
    <row r="59" spans="1:11" ht="14.25" x14ac:dyDescent="0.2">
      <c r="A59" t="s">
        <v>105</v>
      </c>
      <c r="B59" s="6" t="s">
        <v>153</v>
      </c>
      <c r="C59" s="13">
        <v>3.9</v>
      </c>
      <c r="D59" s="13">
        <v>-5.7</v>
      </c>
      <c r="E59" s="13">
        <v>-8.6</v>
      </c>
      <c r="F59" s="13">
        <v>7.1</v>
      </c>
      <c r="G59" s="13">
        <v>17.2</v>
      </c>
      <c r="H59" s="13">
        <v>32.4</v>
      </c>
      <c r="I59" s="13">
        <v>-0.2</v>
      </c>
      <c r="J59" s="13">
        <v>-27</v>
      </c>
      <c r="K59" s="13">
        <v>2.6</v>
      </c>
    </row>
    <row r="60" spans="1:11" x14ac:dyDescent="0.2">
      <c r="A60" t="s">
        <v>107</v>
      </c>
      <c r="B60" t="s">
        <v>104</v>
      </c>
      <c r="C60" s="13">
        <v>4</v>
      </c>
      <c r="D60" s="13">
        <v>1.5</v>
      </c>
      <c r="E60" s="13">
        <v>2.5</v>
      </c>
      <c r="F60" s="13">
        <v>3.9</v>
      </c>
      <c r="G60" s="13">
        <v>0</v>
      </c>
      <c r="H60" s="13">
        <v>-6</v>
      </c>
      <c r="I60" s="13">
        <v>12.4</v>
      </c>
      <c r="J60" s="13">
        <v>1.5</v>
      </c>
      <c r="K60" s="13">
        <v>0.3</v>
      </c>
    </row>
    <row r="61" spans="1:11" x14ac:dyDescent="0.2">
      <c r="A61" t="s">
        <v>109</v>
      </c>
      <c r="B61" t="s">
        <v>106</v>
      </c>
      <c r="C61" s="13">
        <v>-14.6</v>
      </c>
      <c r="D61" s="13">
        <v>12.1</v>
      </c>
      <c r="E61" s="13">
        <v>-0.4</v>
      </c>
      <c r="F61" s="13">
        <v>6.2</v>
      </c>
      <c r="G61" s="13">
        <v>-1.2</v>
      </c>
      <c r="H61" s="13">
        <v>10</v>
      </c>
      <c r="I61" s="13">
        <v>-18.2</v>
      </c>
      <c r="J61" s="13">
        <v>-8.6999999999999993</v>
      </c>
      <c r="K61" s="13">
        <v>15.4</v>
      </c>
    </row>
    <row r="62" spans="1:11" x14ac:dyDescent="0.2">
      <c r="A62" t="s">
        <v>111</v>
      </c>
      <c r="B62" t="s">
        <v>108</v>
      </c>
      <c r="C62" s="13">
        <v>3.9</v>
      </c>
      <c r="D62" s="13">
        <v>0.5</v>
      </c>
      <c r="E62" s="13">
        <v>-0.2</v>
      </c>
      <c r="F62" s="13">
        <v>-2.7</v>
      </c>
      <c r="G62" s="13">
        <v>8.6</v>
      </c>
      <c r="H62" s="13">
        <v>-5.7</v>
      </c>
      <c r="I62" s="13">
        <v>13.7</v>
      </c>
      <c r="J62" s="13">
        <v>-3.9</v>
      </c>
      <c r="K62" s="13">
        <v>-9.9</v>
      </c>
    </row>
    <row r="63" spans="1:11" x14ac:dyDescent="0.2">
      <c r="A63" t="s">
        <v>113</v>
      </c>
      <c r="B63" t="s">
        <v>110</v>
      </c>
      <c r="C63" s="13">
        <v>2.2999999999999998</v>
      </c>
      <c r="D63" s="13">
        <v>2.2999999999999998</v>
      </c>
      <c r="E63" s="13">
        <v>9.1999999999999993</v>
      </c>
      <c r="F63" s="13">
        <v>7.5</v>
      </c>
      <c r="G63" s="13">
        <v>-2.7</v>
      </c>
      <c r="H63" s="13">
        <v>-37.700000000000003</v>
      </c>
      <c r="I63" s="13">
        <v>56.4</v>
      </c>
      <c r="J63" s="13">
        <v>11.2</v>
      </c>
      <c r="K63" s="13">
        <v>0.6</v>
      </c>
    </row>
    <row r="64" spans="1:11" x14ac:dyDescent="0.2">
      <c r="A64" t="s">
        <v>114</v>
      </c>
      <c r="B64" t="s">
        <v>112</v>
      </c>
      <c r="C64" s="13">
        <v>5.8</v>
      </c>
      <c r="D64" s="13">
        <v>-2.5</v>
      </c>
      <c r="E64" s="13">
        <v>-2.2000000000000002</v>
      </c>
      <c r="F64" s="13">
        <v>-2.6</v>
      </c>
      <c r="G64" s="13">
        <v>9.1</v>
      </c>
      <c r="H64" s="13">
        <v>44.5</v>
      </c>
      <c r="I64" s="13">
        <v>3.7</v>
      </c>
      <c r="J64" s="13">
        <v>0.9</v>
      </c>
      <c r="K64" s="13">
        <v>9.4</v>
      </c>
    </row>
    <row r="65" spans="1:12" x14ac:dyDescent="0.2">
      <c r="A65" t="s">
        <v>116</v>
      </c>
      <c r="B65" s="6" t="s">
        <v>142</v>
      </c>
      <c r="C65" s="13">
        <v>0.4</v>
      </c>
      <c r="D65" s="13">
        <v>-2.5</v>
      </c>
      <c r="E65" s="13">
        <v>-8.5</v>
      </c>
      <c r="F65" s="13">
        <v>8.1</v>
      </c>
      <c r="G65" s="13">
        <v>-0.6</v>
      </c>
      <c r="H65" s="13">
        <v>2.9</v>
      </c>
      <c r="I65" s="13">
        <v>8.6999999999999993</v>
      </c>
      <c r="J65" s="13">
        <v>-11.7</v>
      </c>
      <c r="K65" s="13">
        <v>-3.8</v>
      </c>
    </row>
    <row r="66" spans="1:12" x14ac:dyDescent="0.2">
      <c r="A66" t="s">
        <v>118</v>
      </c>
      <c r="B66" t="s">
        <v>115</v>
      </c>
      <c r="C66" s="13">
        <v>47.7</v>
      </c>
      <c r="D66" s="13">
        <v>-22.3</v>
      </c>
      <c r="E66" s="13">
        <v>-16.2</v>
      </c>
      <c r="F66" s="13">
        <v>-12</v>
      </c>
      <c r="G66" s="13">
        <v>26.6</v>
      </c>
      <c r="H66" s="13">
        <v>-8.9</v>
      </c>
      <c r="I66" s="13">
        <v>3.7</v>
      </c>
      <c r="J66" s="13">
        <v>7</v>
      </c>
      <c r="K66" s="13">
        <v>-3.1</v>
      </c>
    </row>
    <row r="67" spans="1:12" x14ac:dyDescent="0.2">
      <c r="A67" t="s">
        <v>120</v>
      </c>
      <c r="B67" t="s">
        <v>117</v>
      </c>
      <c r="C67" s="13">
        <v>9</v>
      </c>
      <c r="D67" s="13">
        <v>2.4</v>
      </c>
      <c r="E67" s="13">
        <v>7.5</v>
      </c>
      <c r="F67" s="13">
        <v>2</v>
      </c>
      <c r="G67" s="13">
        <v>-0.2</v>
      </c>
      <c r="H67" s="13">
        <v>-9.1999999999999993</v>
      </c>
      <c r="I67" s="13">
        <v>13.8</v>
      </c>
      <c r="J67" s="13">
        <v>7.1</v>
      </c>
      <c r="K67" s="13">
        <v>-1.7</v>
      </c>
    </row>
    <row r="68" spans="1:12" x14ac:dyDescent="0.2">
      <c r="A68" t="s">
        <v>122</v>
      </c>
      <c r="B68" t="s">
        <v>119</v>
      </c>
      <c r="C68" s="13">
        <v>3.5</v>
      </c>
      <c r="D68" s="13">
        <v>2.5</v>
      </c>
      <c r="E68" s="13">
        <v>4</v>
      </c>
      <c r="F68" s="13">
        <v>3.8</v>
      </c>
      <c r="G68" s="13">
        <v>0.9</v>
      </c>
      <c r="H68" s="13">
        <v>-24.8</v>
      </c>
      <c r="I68" s="13">
        <v>23.2</v>
      </c>
      <c r="J68" s="13">
        <v>10.3</v>
      </c>
      <c r="K68" s="13">
        <v>4.3</v>
      </c>
    </row>
    <row r="69" spans="1:12" x14ac:dyDescent="0.2">
      <c r="A69" t="s">
        <v>124</v>
      </c>
      <c r="B69" t="s">
        <v>121</v>
      </c>
      <c r="C69" s="13">
        <v>3.4</v>
      </c>
      <c r="D69" s="13">
        <v>2.6</v>
      </c>
      <c r="E69" s="13">
        <v>8.4</v>
      </c>
      <c r="F69" s="13">
        <v>0</v>
      </c>
      <c r="G69" s="13">
        <v>-4.8</v>
      </c>
      <c r="H69" s="13">
        <v>-52.5</v>
      </c>
      <c r="I69" s="13">
        <v>86</v>
      </c>
      <c r="J69" s="13">
        <v>5.5</v>
      </c>
      <c r="K69" s="13">
        <v>0.5</v>
      </c>
    </row>
    <row r="70" spans="1:12" x14ac:dyDescent="0.2">
      <c r="A70" t="s">
        <v>126</v>
      </c>
      <c r="B70" t="s">
        <v>123</v>
      </c>
      <c r="C70" s="13">
        <v>3.4</v>
      </c>
      <c r="D70" s="13">
        <v>-0.6</v>
      </c>
      <c r="E70" s="13">
        <v>2.2999999999999998</v>
      </c>
      <c r="F70" s="13">
        <v>2</v>
      </c>
      <c r="G70" s="13">
        <v>1</v>
      </c>
      <c r="H70" s="13">
        <v>-8.6999999999999993</v>
      </c>
      <c r="I70" s="13">
        <v>9.3000000000000007</v>
      </c>
      <c r="J70" s="13">
        <v>7.6</v>
      </c>
      <c r="K70" s="13">
        <v>3.7</v>
      </c>
    </row>
    <row r="71" spans="1:12" x14ac:dyDescent="0.2">
      <c r="A71" t="s">
        <v>128</v>
      </c>
      <c r="B71" t="s">
        <v>125</v>
      </c>
      <c r="C71" s="13">
        <v>13</v>
      </c>
      <c r="D71" s="13">
        <v>7.1</v>
      </c>
      <c r="E71" s="13">
        <v>10.7</v>
      </c>
      <c r="F71" s="13">
        <v>8.9</v>
      </c>
      <c r="G71" s="13">
        <v>-3.5</v>
      </c>
      <c r="H71" s="13">
        <v>-59.4</v>
      </c>
      <c r="I71" s="13">
        <v>28.8</v>
      </c>
      <c r="J71" s="13">
        <v>87.7</v>
      </c>
      <c r="K71" s="13">
        <v>16.399999999999999</v>
      </c>
    </row>
    <row r="72" spans="1:12" x14ac:dyDescent="0.2">
      <c r="A72" t="s">
        <v>130</v>
      </c>
      <c r="B72" t="s">
        <v>127</v>
      </c>
      <c r="C72" s="13">
        <v>2.6</v>
      </c>
      <c r="D72" s="13">
        <v>16.899999999999999</v>
      </c>
      <c r="E72" s="13">
        <v>6.5</v>
      </c>
      <c r="F72" s="13">
        <v>14</v>
      </c>
      <c r="G72" s="13">
        <v>5.7</v>
      </c>
      <c r="H72" s="13">
        <v>-62.1</v>
      </c>
      <c r="I72" s="13">
        <v>89.8</v>
      </c>
      <c r="J72" s="13">
        <v>22.9</v>
      </c>
      <c r="K72" s="13">
        <v>8.5</v>
      </c>
    </row>
    <row r="73" spans="1:12" x14ac:dyDescent="0.2">
      <c r="A73" t="s">
        <v>132</v>
      </c>
      <c r="B73" t="s">
        <v>129</v>
      </c>
      <c r="C73" s="13">
        <v>-0.6</v>
      </c>
      <c r="D73" s="13">
        <v>0.2</v>
      </c>
      <c r="E73" s="13">
        <v>-1.7</v>
      </c>
      <c r="F73" s="13">
        <v>-2.4</v>
      </c>
      <c r="G73" s="13">
        <v>1.8</v>
      </c>
      <c r="H73" s="13">
        <v>4.3</v>
      </c>
      <c r="I73" s="13">
        <v>3.1</v>
      </c>
      <c r="J73" s="13">
        <v>0.5</v>
      </c>
      <c r="K73" s="13">
        <v>-3.2</v>
      </c>
    </row>
    <row r="74" spans="1:12" x14ac:dyDescent="0.2">
      <c r="A74" t="s">
        <v>134</v>
      </c>
      <c r="B74" t="s">
        <v>131</v>
      </c>
      <c r="C74" s="13">
        <v>-0.4</v>
      </c>
      <c r="D74" s="13">
        <v>0.1</v>
      </c>
      <c r="E74" s="13">
        <v>-1.9</v>
      </c>
      <c r="F74" s="13">
        <v>-3.1</v>
      </c>
      <c r="G74" s="13">
        <v>1.8</v>
      </c>
      <c r="H74" s="13">
        <v>4.3</v>
      </c>
      <c r="I74" s="13">
        <v>3.3</v>
      </c>
      <c r="J74" s="13">
        <v>0.4</v>
      </c>
      <c r="K74" s="13">
        <v>-4</v>
      </c>
    </row>
    <row r="75" spans="1:12" x14ac:dyDescent="0.2">
      <c r="A75" t="s">
        <v>145</v>
      </c>
      <c r="B75" t="s">
        <v>133</v>
      </c>
      <c r="C75" s="13">
        <v>-4</v>
      </c>
      <c r="D75" s="13">
        <v>1.5</v>
      </c>
      <c r="E75" s="13">
        <v>5.9</v>
      </c>
      <c r="F75" s="13">
        <v>1.8</v>
      </c>
      <c r="G75" s="13">
        <v>0.3</v>
      </c>
      <c r="H75" s="13">
        <v>6.1</v>
      </c>
      <c r="I75" s="13">
        <v>0.3</v>
      </c>
      <c r="J75" s="13">
        <v>-4.7</v>
      </c>
      <c r="K75" s="13">
        <v>6.7</v>
      </c>
    </row>
    <row r="76" spans="1:12" x14ac:dyDescent="0.2">
      <c r="A76" s="7" t="s">
        <v>146</v>
      </c>
      <c r="B76" s="7" t="s">
        <v>135</v>
      </c>
      <c r="C76" s="12">
        <v>0.3</v>
      </c>
      <c r="D76" s="12">
        <v>0</v>
      </c>
      <c r="E76" s="12">
        <v>-8.9</v>
      </c>
      <c r="F76" s="12">
        <v>23.7</v>
      </c>
      <c r="G76" s="12">
        <v>3</v>
      </c>
      <c r="H76" s="12">
        <v>1.2</v>
      </c>
      <c r="I76" s="12">
        <v>-1.6</v>
      </c>
      <c r="J76" s="12">
        <v>18.100000000000001</v>
      </c>
      <c r="K76" s="12">
        <v>7.3</v>
      </c>
    </row>
    <row r="77" spans="1:12" ht="12.95" customHeight="1" x14ac:dyDescent="0.2">
      <c r="A77" s="23" t="s">
        <v>162</v>
      </c>
      <c r="B77" s="24"/>
      <c r="C77" s="24"/>
      <c r="D77" s="24"/>
      <c r="E77" s="24"/>
      <c r="F77" s="24"/>
      <c r="G77" s="24"/>
      <c r="H77" s="24"/>
      <c r="I77" s="24"/>
      <c r="J77" s="24"/>
      <c r="K77" s="24"/>
      <c r="L77" s="15"/>
    </row>
    <row r="78" spans="1:12" s="6" customFormat="1" ht="27.95" customHeight="1" x14ac:dyDescent="0.2">
      <c r="A78" s="17" t="s">
        <v>152</v>
      </c>
      <c r="B78" s="17"/>
      <c r="C78" s="17"/>
      <c r="D78" s="17"/>
      <c r="E78" s="17"/>
      <c r="F78" s="17"/>
      <c r="G78" s="17"/>
      <c r="H78" s="17"/>
      <c r="I78" s="17"/>
      <c r="J78" s="17"/>
      <c r="K78" s="17"/>
      <c r="L78" s="14"/>
    </row>
    <row r="79" spans="1:12" s="6" customFormat="1" ht="27.95" customHeight="1" x14ac:dyDescent="0.2">
      <c r="A79" s="17" t="s">
        <v>151</v>
      </c>
      <c r="B79" s="17"/>
      <c r="C79" s="17"/>
      <c r="D79" s="17"/>
      <c r="E79" s="17"/>
      <c r="F79" s="17"/>
      <c r="G79" s="17"/>
      <c r="H79" s="17"/>
      <c r="I79" s="17"/>
      <c r="J79" s="17"/>
      <c r="K79" s="17"/>
      <c r="L79" s="14"/>
    </row>
    <row r="80" spans="1:12" s="6" customFormat="1" ht="12.95" customHeight="1" x14ac:dyDescent="0.2">
      <c r="A80" s="17" t="s">
        <v>150</v>
      </c>
      <c r="B80" s="17"/>
      <c r="C80" s="17"/>
      <c r="D80" s="17"/>
      <c r="E80" s="17"/>
      <c r="F80" s="17"/>
      <c r="G80" s="17"/>
      <c r="H80" s="17"/>
      <c r="I80" s="17"/>
      <c r="J80" s="17"/>
      <c r="K80" s="17"/>
      <c r="L80" s="14"/>
    </row>
    <row r="81" spans="1:12" s="6" customFormat="1" ht="12.95" customHeight="1" x14ac:dyDescent="0.2">
      <c r="A81" s="17" t="s">
        <v>149</v>
      </c>
      <c r="B81" s="17"/>
      <c r="C81" s="17"/>
      <c r="D81" s="17"/>
      <c r="E81" s="17"/>
      <c r="F81" s="17"/>
      <c r="G81" s="17"/>
      <c r="H81" s="17"/>
      <c r="I81" s="17"/>
      <c r="J81" s="17"/>
      <c r="K81" s="17"/>
      <c r="L81" s="14"/>
    </row>
    <row r="82" spans="1:12" s="6" customFormat="1" ht="24.95" customHeight="1" x14ac:dyDescent="0.2">
      <c r="A82" s="17"/>
      <c r="B82" s="17"/>
      <c r="C82" s="17"/>
      <c r="D82" s="17"/>
      <c r="E82" s="17"/>
      <c r="F82" s="17"/>
      <c r="G82" s="17"/>
      <c r="H82" s="11"/>
    </row>
  </sheetData>
  <mergeCells count="8">
    <mergeCell ref="A81:K81"/>
    <mergeCell ref="A82:G82"/>
    <mergeCell ref="A1:K1"/>
    <mergeCell ref="A2:G2"/>
    <mergeCell ref="A77:K77"/>
    <mergeCell ref="A78:K78"/>
    <mergeCell ref="A79:K79"/>
    <mergeCell ref="A80:K80"/>
  </mergeCells>
  <phoneticPr fontId="7" type="noConversion"/>
  <pageMargins left="0.75" right="0.75" top="1" bottom="1" header="0.5" footer="0.5"/>
  <pageSetup orientation="portrait" horizontalDpi="300" verticalDpi="3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59D15-216B-4FE9-9AC3-24D6FB58B5ED}">
  <dimension ref="A1:L81"/>
  <sheetViews>
    <sheetView workbookViewId="0">
      <pane ySplit="3" topLeftCell="A4" activePane="bottomLeft" state="frozen"/>
      <selection sqref="A1:L1"/>
      <selection pane="bottomLeft" sqref="A1:L1"/>
    </sheetView>
  </sheetViews>
  <sheetFormatPr defaultRowHeight="12.75" x14ac:dyDescent="0.2"/>
  <cols>
    <col min="2" max="2" width="70.7109375" customWidth="1"/>
    <col min="3" max="12" width="9.7109375" customWidth="1"/>
  </cols>
  <sheetData>
    <row r="1" spans="1:12" ht="18" x14ac:dyDescent="0.25">
      <c r="A1" s="18" t="s">
        <v>139</v>
      </c>
      <c r="B1" s="18"/>
      <c r="C1" s="18"/>
      <c r="D1" s="18"/>
      <c r="E1" s="18"/>
      <c r="F1" s="18"/>
      <c r="G1" s="18"/>
      <c r="H1" s="18"/>
      <c r="I1" s="18"/>
      <c r="J1" s="18"/>
      <c r="K1" s="18"/>
      <c r="L1" s="18"/>
    </row>
    <row r="2" spans="1:12" ht="16.5" customHeight="1" x14ac:dyDescent="0.25">
      <c r="A2" s="19" t="s">
        <v>148</v>
      </c>
      <c r="B2" s="19"/>
      <c r="C2" s="19"/>
      <c r="D2" s="19"/>
      <c r="E2" s="19"/>
      <c r="F2" s="19"/>
      <c r="G2" s="19"/>
      <c r="H2" s="19"/>
      <c r="I2" s="19"/>
      <c r="J2" s="19"/>
      <c r="K2" s="19"/>
      <c r="L2" s="19"/>
    </row>
    <row r="3" spans="1:12" x14ac:dyDescent="0.2">
      <c r="A3" s="10" t="s">
        <v>0</v>
      </c>
      <c r="B3" s="10" t="s">
        <v>0</v>
      </c>
      <c r="C3" s="10">
        <v>2014</v>
      </c>
      <c r="D3" s="10">
        <v>2015</v>
      </c>
      <c r="E3" s="10">
        <v>2016</v>
      </c>
      <c r="F3" s="10">
        <v>2017</v>
      </c>
      <c r="G3" s="10">
        <v>2018</v>
      </c>
      <c r="H3" s="10">
        <v>2019</v>
      </c>
      <c r="I3" s="10">
        <v>2020</v>
      </c>
      <c r="J3" s="10">
        <v>2021</v>
      </c>
      <c r="K3" s="10">
        <v>2022</v>
      </c>
      <c r="L3" s="10">
        <v>2023</v>
      </c>
    </row>
    <row r="4" spans="1:12" x14ac:dyDescent="0.2">
      <c r="A4" s="1" t="s">
        <v>1</v>
      </c>
      <c r="B4" s="1" t="s">
        <v>141</v>
      </c>
      <c r="C4" s="3">
        <v>101.254</v>
      </c>
      <c r="D4" s="3">
        <v>97.191000000000003</v>
      </c>
      <c r="E4" s="3">
        <v>97.091999999999999</v>
      </c>
      <c r="F4" s="3">
        <v>100</v>
      </c>
      <c r="G4" s="3">
        <v>103.97499999999999</v>
      </c>
      <c r="H4" s="3">
        <v>105.483</v>
      </c>
      <c r="I4" s="3">
        <v>102.078</v>
      </c>
      <c r="J4" s="3">
        <v>109.99</v>
      </c>
      <c r="K4" s="3">
        <v>121.938</v>
      </c>
      <c r="L4" s="3">
        <v>125.504</v>
      </c>
    </row>
    <row r="5" spans="1:12" x14ac:dyDescent="0.2">
      <c r="A5" t="s">
        <v>2</v>
      </c>
      <c r="B5" t="s">
        <v>3</v>
      </c>
      <c r="C5" s="2">
        <v>95.930999999999997</v>
      </c>
      <c r="D5" s="2">
        <v>94.263999999999996</v>
      </c>
      <c r="E5" s="2">
        <v>97.478999999999999</v>
      </c>
      <c r="F5" s="2">
        <v>100</v>
      </c>
      <c r="G5" s="2">
        <v>104.723</v>
      </c>
      <c r="H5" s="2">
        <v>108.861</v>
      </c>
      <c r="I5" s="2">
        <v>108.711</v>
      </c>
      <c r="J5" s="2">
        <v>118.453</v>
      </c>
      <c r="K5" s="2">
        <v>127.28100000000001</v>
      </c>
      <c r="L5" s="2">
        <v>130.40100000000001</v>
      </c>
    </row>
    <row r="6" spans="1:12" x14ac:dyDescent="0.2">
      <c r="A6" t="s">
        <v>4</v>
      </c>
      <c r="B6" t="s">
        <v>5</v>
      </c>
      <c r="C6" s="2">
        <v>95.974000000000004</v>
      </c>
      <c r="D6" s="2">
        <v>93.974000000000004</v>
      </c>
      <c r="E6" s="2">
        <v>97.307000000000002</v>
      </c>
      <c r="F6" s="2">
        <v>100</v>
      </c>
      <c r="G6" s="2">
        <v>104.871</v>
      </c>
      <c r="H6" s="2">
        <v>108.819</v>
      </c>
      <c r="I6" s="2">
        <v>108.03700000000001</v>
      </c>
      <c r="J6" s="2">
        <v>120.46299999999999</v>
      </c>
      <c r="K6" s="2">
        <v>132.55199999999999</v>
      </c>
      <c r="L6" s="2">
        <v>135.316</v>
      </c>
    </row>
    <row r="7" spans="1:12" x14ac:dyDescent="0.2">
      <c r="A7" t="s">
        <v>6</v>
      </c>
      <c r="B7" t="s">
        <v>7</v>
      </c>
      <c r="C7" s="2">
        <v>99.084000000000003</v>
      </c>
      <c r="D7" s="2">
        <v>93.99</v>
      </c>
      <c r="E7" s="2">
        <v>98.301000000000002</v>
      </c>
      <c r="F7" s="2">
        <v>100</v>
      </c>
      <c r="G7" s="2">
        <v>104.211</v>
      </c>
      <c r="H7" s="2">
        <v>105.327</v>
      </c>
      <c r="I7" s="2">
        <v>102.809</v>
      </c>
      <c r="J7" s="2">
        <v>123.074</v>
      </c>
      <c r="K7" s="2">
        <v>133.053</v>
      </c>
      <c r="L7" s="2">
        <v>133.762</v>
      </c>
    </row>
    <row r="8" spans="1:12" x14ac:dyDescent="0.2">
      <c r="A8" t="s">
        <v>8</v>
      </c>
      <c r="B8" t="s">
        <v>9</v>
      </c>
      <c r="C8" s="2">
        <v>91.343999999999994</v>
      </c>
      <c r="D8" s="2">
        <v>93.864000000000004</v>
      </c>
      <c r="E8" s="2">
        <v>95.734999999999999</v>
      </c>
      <c r="F8" s="2">
        <v>100</v>
      </c>
      <c r="G8" s="2">
        <v>105.92</v>
      </c>
      <c r="H8" s="2">
        <v>114.502</v>
      </c>
      <c r="I8" s="2">
        <v>116.45099999999999</v>
      </c>
      <c r="J8" s="2">
        <v>117.086</v>
      </c>
      <c r="K8" s="2">
        <v>132.43199999999999</v>
      </c>
      <c r="L8" s="2">
        <v>138.22900000000001</v>
      </c>
    </row>
    <row r="9" spans="1:12" x14ac:dyDescent="0.2">
      <c r="A9" t="s">
        <v>10</v>
      </c>
      <c r="B9" t="s">
        <v>11</v>
      </c>
      <c r="C9" s="2">
        <v>126.096</v>
      </c>
      <c r="D9" s="2">
        <v>95.122</v>
      </c>
      <c r="E9" s="2">
        <v>94.707999999999998</v>
      </c>
      <c r="F9" s="2">
        <v>100</v>
      </c>
      <c r="G9" s="2">
        <v>103.376</v>
      </c>
      <c r="H9" s="2">
        <v>105.617</v>
      </c>
      <c r="I9" s="2">
        <v>109.455</v>
      </c>
      <c r="J9" s="2">
        <v>113.081</v>
      </c>
      <c r="K9" s="2">
        <v>126.4</v>
      </c>
      <c r="L9" s="2">
        <v>139.55500000000001</v>
      </c>
    </row>
    <row r="10" spans="1:12" x14ac:dyDescent="0.2">
      <c r="A10" t="s">
        <v>12</v>
      </c>
      <c r="B10" t="s">
        <v>13</v>
      </c>
      <c r="C10" s="2">
        <v>92.04</v>
      </c>
      <c r="D10" s="2">
        <v>97.983000000000004</v>
      </c>
      <c r="E10" s="2">
        <v>99.778999999999996</v>
      </c>
      <c r="F10" s="2">
        <v>100</v>
      </c>
      <c r="G10" s="2">
        <v>103.321</v>
      </c>
      <c r="H10" s="2">
        <v>109.011</v>
      </c>
      <c r="I10" s="2">
        <v>112.41</v>
      </c>
      <c r="J10" s="2">
        <v>112.173</v>
      </c>
      <c r="K10" s="2">
        <v>111.946</v>
      </c>
      <c r="L10" s="2">
        <v>115.709</v>
      </c>
    </row>
    <row r="11" spans="1:12" x14ac:dyDescent="0.2">
      <c r="A11" t="s">
        <v>14</v>
      </c>
      <c r="B11" t="s">
        <v>15</v>
      </c>
      <c r="C11" s="2">
        <v>94.350999999999999</v>
      </c>
      <c r="D11" s="2">
        <v>97.16</v>
      </c>
      <c r="E11" s="2">
        <v>97.647999999999996</v>
      </c>
      <c r="F11" s="2">
        <v>100</v>
      </c>
      <c r="G11" s="2">
        <v>102.96</v>
      </c>
      <c r="H11" s="2">
        <v>107.389</v>
      </c>
      <c r="I11" s="2">
        <v>109.25</v>
      </c>
      <c r="J11" s="2">
        <v>113.373</v>
      </c>
      <c r="K11" s="2">
        <v>125.877</v>
      </c>
      <c r="L11" s="2">
        <v>135.62</v>
      </c>
    </row>
    <row r="12" spans="1:12" x14ac:dyDescent="0.2">
      <c r="A12" t="s">
        <v>16</v>
      </c>
      <c r="B12" t="s">
        <v>17</v>
      </c>
      <c r="C12" s="2">
        <v>94.903999999999996</v>
      </c>
      <c r="D12" s="2">
        <v>98.012</v>
      </c>
      <c r="E12" s="2">
        <v>97.781999999999996</v>
      </c>
      <c r="F12" s="2">
        <v>100</v>
      </c>
      <c r="G12" s="2">
        <v>103.075</v>
      </c>
      <c r="H12" s="2">
        <v>107.711</v>
      </c>
      <c r="I12" s="2">
        <v>109.099</v>
      </c>
      <c r="J12" s="2">
        <v>112.03</v>
      </c>
      <c r="K12" s="2">
        <v>126.25</v>
      </c>
      <c r="L12" s="2">
        <v>137.19999999999999</v>
      </c>
    </row>
    <row r="13" spans="1:12" x14ac:dyDescent="0.2">
      <c r="A13" t="s">
        <v>18</v>
      </c>
      <c r="B13" t="s">
        <v>19</v>
      </c>
      <c r="C13" s="2">
        <v>94.561000000000007</v>
      </c>
      <c r="D13" s="2">
        <v>97.926000000000002</v>
      </c>
      <c r="E13" s="2">
        <v>97.864000000000004</v>
      </c>
      <c r="F13" s="2">
        <v>100</v>
      </c>
      <c r="G13" s="2">
        <v>103.059</v>
      </c>
      <c r="H13" s="2">
        <v>107.717</v>
      </c>
      <c r="I13" s="2">
        <v>109.123</v>
      </c>
      <c r="J13" s="2">
        <v>112.015</v>
      </c>
      <c r="K13" s="2">
        <v>126.26</v>
      </c>
      <c r="L13" s="2">
        <v>137.24199999999999</v>
      </c>
    </row>
    <row r="14" spans="1:12" x14ac:dyDescent="0.2">
      <c r="A14" t="s">
        <v>20</v>
      </c>
      <c r="B14" t="s">
        <v>21</v>
      </c>
      <c r="C14" s="2">
        <v>91.837000000000003</v>
      </c>
      <c r="D14" s="2">
        <v>94.230999999999995</v>
      </c>
      <c r="E14" s="2">
        <v>96.897000000000006</v>
      </c>
      <c r="F14" s="2">
        <v>100</v>
      </c>
      <c r="G14" s="2">
        <v>103.703</v>
      </c>
      <c r="H14" s="2">
        <v>107.709</v>
      </c>
      <c r="I14" s="2">
        <v>110.861</v>
      </c>
      <c r="J14" s="2">
        <v>118.789</v>
      </c>
      <c r="K14" s="2">
        <v>127.563</v>
      </c>
      <c r="L14" s="2">
        <v>134.70699999999999</v>
      </c>
    </row>
    <row r="15" spans="1:12" x14ac:dyDescent="0.2">
      <c r="A15" t="s">
        <v>22</v>
      </c>
      <c r="B15" t="s">
        <v>144</v>
      </c>
      <c r="C15" s="2">
        <v>102.20099999999999</v>
      </c>
      <c r="D15" s="2">
        <v>100.818</v>
      </c>
      <c r="E15" s="2">
        <v>99.655000000000001</v>
      </c>
      <c r="F15" s="2">
        <v>100</v>
      </c>
      <c r="G15" s="2">
        <v>93.840999999999994</v>
      </c>
      <c r="H15" s="2">
        <v>96.558999999999997</v>
      </c>
      <c r="I15" s="2">
        <v>98.853999999999999</v>
      </c>
      <c r="J15" s="2">
        <v>99.397000000000006</v>
      </c>
      <c r="K15" s="2">
        <v>104.325</v>
      </c>
      <c r="L15" s="2">
        <v>108.03700000000001</v>
      </c>
    </row>
    <row r="16" spans="1:12" x14ac:dyDescent="0.2">
      <c r="A16" t="s">
        <v>24</v>
      </c>
      <c r="B16" t="s">
        <v>23</v>
      </c>
      <c r="C16" s="2">
        <v>96.356999999999999</v>
      </c>
      <c r="D16" s="2">
        <v>96.927000000000007</v>
      </c>
      <c r="E16" s="2">
        <v>97.778999999999996</v>
      </c>
      <c r="F16" s="2">
        <v>100</v>
      </c>
      <c r="G16" s="2">
        <v>103.125</v>
      </c>
      <c r="H16" s="2">
        <v>105.175</v>
      </c>
      <c r="I16" s="2">
        <v>107.16500000000001</v>
      </c>
      <c r="J16" s="2">
        <v>108.13500000000001</v>
      </c>
      <c r="K16" s="2">
        <v>114.54900000000001</v>
      </c>
      <c r="L16" s="2">
        <v>117.38500000000001</v>
      </c>
    </row>
    <row r="17" spans="1:12" x14ac:dyDescent="0.2">
      <c r="A17" t="s">
        <v>26</v>
      </c>
      <c r="B17" t="s">
        <v>25</v>
      </c>
      <c r="C17" s="2">
        <v>99.162999999999997</v>
      </c>
      <c r="D17" s="2">
        <v>97.87</v>
      </c>
      <c r="E17" s="2">
        <v>97.802000000000007</v>
      </c>
      <c r="F17" s="2">
        <v>100</v>
      </c>
      <c r="G17" s="2">
        <v>103.661</v>
      </c>
      <c r="H17" s="2">
        <v>104.94199999999999</v>
      </c>
      <c r="I17" s="2">
        <v>106.41200000000001</v>
      </c>
      <c r="J17" s="2">
        <v>106.74299999999999</v>
      </c>
      <c r="K17" s="2">
        <v>115.051</v>
      </c>
      <c r="L17" s="2">
        <v>117.212</v>
      </c>
    </row>
    <row r="18" spans="1:12" x14ac:dyDescent="0.2">
      <c r="A18" t="s">
        <v>27</v>
      </c>
      <c r="B18" s="6" t="s">
        <v>140</v>
      </c>
      <c r="C18" s="2">
        <v>99.266000000000005</v>
      </c>
      <c r="D18" s="2">
        <v>97.772999999999996</v>
      </c>
      <c r="E18" s="2">
        <v>98.884</v>
      </c>
      <c r="F18" s="2">
        <v>100</v>
      </c>
      <c r="G18" s="2">
        <v>102.1</v>
      </c>
      <c r="H18" s="2">
        <v>102.496</v>
      </c>
      <c r="I18" s="2">
        <v>102.70399999999999</v>
      </c>
      <c r="J18" s="2">
        <v>103.64100000000001</v>
      </c>
      <c r="K18" s="2">
        <v>115.974</v>
      </c>
      <c r="L18" s="2">
        <v>118.015</v>
      </c>
    </row>
    <row r="19" spans="1:12" x14ac:dyDescent="0.2">
      <c r="A19" t="s">
        <v>29</v>
      </c>
      <c r="B19" t="s">
        <v>28</v>
      </c>
      <c r="C19" s="2">
        <v>94.363</v>
      </c>
      <c r="D19" s="2">
        <v>95.614000000000004</v>
      </c>
      <c r="E19" s="2">
        <v>97.88</v>
      </c>
      <c r="F19" s="2">
        <v>100</v>
      </c>
      <c r="G19" s="2">
        <v>102.842</v>
      </c>
      <c r="H19" s="2">
        <v>104.01900000000001</v>
      </c>
      <c r="I19" s="2">
        <v>103.18600000000001</v>
      </c>
      <c r="J19" s="2">
        <v>103.288</v>
      </c>
      <c r="K19" s="2">
        <v>117.587</v>
      </c>
      <c r="L19" s="2">
        <v>119.432</v>
      </c>
    </row>
    <row r="20" spans="1:12" x14ac:dyDescent="0.2">
      <c r="A20" t="s">
        <v>31</v>
      </c>
      <c r="B20" t="s">
        <v>30</v>
      </c>
      <c r="C20" s="2">
        <v>105.244</v>
      </c>
      <c r="D20" s="2">
        <v>99.06</v>
      </c>
      <c r="E20" s="2">
        <v>98.361999999999995</v>
      </c>
      <c r="F20" s="2">
        <v>100</v>
      </c>
      <c r="G20" s="2">
        <v>103.94799999999999</v>
      </c>
      <c r="H20" s="2">
        <v>104.989</v>
      </c>
      <c r="I20" s="2">
        <v>105.03700000000001</v>
      </c>
      <c r="J20" s="2">
        <v>104.449</v>
      </c>
      <c r="K20" s="2">
        <v>107.023</v>
      </c>
      <c r="L20" s="2">
        <v>109.188</v>
      </c>
    </row>
    <row r="21" spans="1:12" x14ac:dyDescent="0.2">
      <c r="A21" t="s">
        <v>33</v>
      </c>
      <c r="B21" t="s">
        <v>32</v>
      </c>
      <c r="C21" s="2">
        <v>96.364999999999995</v>
      </c>
      <c r="D21" s="2">
        <v>99.067999999999998</v>
      </c>
      <c r="E21" s="2">
        <v>96.644999999999996</v>
      </c>
      <c r="F21" s="2">
        <v>100</v>
      </c>
      <c r="G21" s="2">
        <v>104.545</v>
      </c>
      <c r="H21" s="2">
        <v>106.432</v>
      </c>
      <c r="I21" s="2">
        <v>113.48</v>
      </c>
      <c r="J21" s="2">
        <v>115.477</v>
      </c>
      <c r="K21" s="2">
        <v>117.46</v>
      </c>
      <c r="L21" s="2">
        <v>120.27200000000001</v>
      </c>
    </row>
    <row r="22" spans="1:12" x14ac:dyDescent="0.2">
      <c r="A22" t="s">
        <v>35</v>
      </c>
      <c r="B22" t="s">
        <v>34</v>
      </c>
      <c r="C22" s="2">
        <v>92.989000000000004</v>
      </c>
      <c r="D22" s="2">
        <v>95.86</v>
      </c>
      <c r="E22" s="2">
        <v>97.831999999999994</v>
      </c>
      <c r="F22" s="2">
        <v>100</v>
      </c>
      <c r="G22" s="2">
        <v>102.39</v>
      </c>
      <c r="H22" s="2">
        <v>105.69799999999999</v>
      </c>
      <c r="I22" s="2">
        <v>108.61499999999999</v>
      </c>
      <c r="J22" s="2">
        <v>111.116</v>
      </c>
      <c r="K22" s="2">
        <v>112.977</v>
      </c>
      <c r="L22" s="2">
        <v>117.29300000000001</v>
      </c>
    </row>
    <row r="23" spans="1:12" x14ac:dyDescent="0.2">
      <c r="A23" t="s">
        <v>37</v>
      </c>
      <c r="B23" t="s">
        <v>36</v>
      </c>
      <c r="C23" s="2">
        <v>88.406000000000006</v>
      </c>
      <c r="D23" s="2">
        <v>92.766000000000005</v>
      </c>
      <c r="E23" s="2">
        <v>96.382000000000005</v>
      </c>
      <c r="F23" s="2">
        <v>100</v>
      </c>
      <c r="G23" s="2">
        <v>101.753</v>
      </c>
      <c r="H23" s="2">
        <v>103.824</v>
      </c>
      <c r="I23" s="2">
        <v>108.59099999999999</v>
      </c>
      <c r="J23" s="2">
        <v>108.161</v>
      </c>
      <c r="K23" s="2">
        <v>105.49</v>
      </c>
      <c r="L23" s="2">
        <v>111.45399999999999</v>
      </c>
    </row>
    <row r="24" spans="1:12" x14ac:dyDescent="0.2">
      <c r="A24" t="s">
        <v>39</v>
      </c>
      <c r="B24" t="s">
        <v>38</v>
      </c>
      <c r="C24" s="2">
        <v>93.197999999999993</v>
      </c>
      <c r="D24" s="2">
        <v>95.814999999999998</v>
      </c>
      <c r="E24" s="2">
        <v>97.795000000000002</v>
      </c>
      <c r="F24" s="2">
        <v>100</v>
      </c>
      <c r="G24" s="2">
        <v>102.526</v>
      </c>
      <c r="H24" s="2">
        <v>105.14100000000001</v>
      </c>
      <c r="I24" s="2">
        <v>105.43899999999999</v>
      </c>
      <c r="J24" s="2">
        <v>106.657</v>
      </c>
      <c r="K24" s="2">
        <v>111.658</v>
      </c>
      <c r="L24" s="2">
        <v>115.732</v>
      </c>
    </row>
    <row r="25" spans="1:12" x14ac:dyDescent="0.2">
      <c r="A25" t="s">
        <v>41</v>
      </c>
      <c r="B25" t="s">
        <v>40</v>
      </c>
      <c r="C25" s="2">
        <v>82.453999999999994</v>
      </c>
      <c r="D25" s="2">
        <v>92.822000000000003</v>
      </c>
      <c r="E25" s="2">
        <v>98.328000000000003</v>
      </c>
      <c r="F25" s="2">
        <v>100</v>
      </c>
      <c r="G25" s="2">
        <v>102.57299999999999</v>
      </c>
      <c r="H25" s="2">
        <v>105.012</v>
      </c>
      <c r="I25" s="2">
        <v>98.867000000000004</v>
      </c>
      <c r="J25" s="2">
        <v>104.77</v>
      </c>
      <c r="K25" s="2">
        <v>115.203</v>
      </c>
      <c r="L25" s="2">
        <v>121.979</v>
      </c>
    </row>
    <row r="26" spans="1:12" x14ac:dyDescent="0.2">
      <c r="A26" t="s">
        <v>43</v>
      </c>
      <c r="B26" t="s">
        <v>42</v>
      </c>
      <c r="C26" s="2">
        <v>86.403000000000006</v>
      </c>
      <c r="D26" s="2">
        <v>94.765000000000001</v>
      </c>
      <c r="E26" s="2">
        <v>92.897999999999996</v>
      </c>
      <c r="F26" s="2">
        <v>100</v>
      </c>
      <c r="G26" s="2">
        <v>108.11199999999999</v>
      </c>
      <c r="H26" s="2">
        <v>116.15300000000001</v>
      </c>
      <c r="I26" s="2">
        <v>112.724</v>
      </c>
      <c r="J26" s="2">
        <v>119.595</v>
      </c>
      <c r="K26" s="2">
        <v>141.24600000000001</v>
      </c>
      <c r="L26" s="2">
        <v>143.584</v>
      </c>
    </row>
    <row r="27" spans="1:12" x14ac:dyDescent="0.2">
      <c r="A27" t="s">
        <v>45</v>
      </c>
      <c r="B27" t="s">
        <v>44</v>
      </c>
      <c r="C27" s="2">
        <v>70.376999999999995</v>
      </c>
      <c r="D27" s="2">
        <v>86.736000000000004</v>
      </c>
      <c r="E27" s="2">
        <v>114.283</v>
      </c>
      <c r="F27" s="2">
        <v>100</v>
      </c>
      <c r="G27" s="2">
        <v>88.983999999999995</v>
      </c>
      <c r="H27" s="2">
        <v>82.01</v>
      </c>
      <c r="I27" s="2">
        <v>68.680000000000007</v>
      </c>
      <c r="J27" s="2">
        <v>71.930999999999997</v>
      </c>
      <c r="K27" s="2">
        <v>57.140999999999998</v>
      </c>
      <c r="L27" s="2">
        <v>65.540999999999997</v>
      </c>
    </row>
    <row r="28" spans="1:12" x14ac:dyDescent="0.2">
      <c r="A28" t="s">
        <v>47</v>
      </c>
      <c r="B28" t="s">
        <v>46</v>
      </c>
      <c r="C28" s="2">
        <v>94.418999999999997</v>
      </c>
      <c r="D28" s="2">
        <v>96.387</v>
      </c>
      <c r="E28" s="2">
        <v>97.025999999999996</v>
      </c>
      <c r="F28" s="2">
        <v>100</v>
      </c>
      <c r="G28" s="2">
        <v>104.511</v>
      </c>
      <c r="H28" s="2">
        <v>103.04</v>
      </c>
      <c r="I28" s="2">
        <v>102.10899999999999</v>
      </c>
      <c r="J28" s="2">
        <v>109.092</v>
      </c>
      <c r="K28" s="2">
        <v>129.959</v>
      </c>
      <c r="L28" s="2">
        <v>149.40199999999999</v>
      </c>
    </row>
    <row r="29" spans="1:12" x14ac:dyDescent="0.2">
      <c r="A29" t="s">
        <v>49</v>
      </c>
      <c r="B29" t="s">
        <v>48</v>
      </c>
      <c r="C29" s="2">
        <v>98.534999999999997</v>
      </c>
      <c r="D29" s="2">
        <v>100.544</v>
      </c>
      <c r="E29" s="2">
        <v>100.976</v>
      </c>
      <c r="F29" s="2">
        <v>100</v>
      </c>
      <c r="G29" s="2">
        <v>99.302000000000007</v>
      </c>
      <c r="H29" s="2">
        <v>103.259</v>
      </c>
      <c r="I29" s="2">
        <v>111.517</v>
      </c>
      <c r="J29" s="2">
        <v>116.67100000000001</v>
      </c>
      <c r="K29" s="2">
        <v>127.855</v>
      </c>
      <c r="L29" s="2">
        <v>147.46199999999999</v>
      </c>
    </row>
    <row r="30" spans="1:12" x14ac:dyDescent="0.2">
      <c r="A30" t="s">
        <v>51</v>
      </c>
      <c r="B30" t="s">
        <v>50</v>
      </c>
      <c r="C30" s="2">
        <v>137.29499999999999</v>
      </c>
      <c r="D30" s="2">
        <v>96.233000000000004</v>
      </c>
      <c r="E30" s="2">
        <v>87.677999999999997</v>
      </c>
      <c r="F30" s="2">
        <v>100</v>
      </c>
      <c r="G30" s="2">
        <v>110.285</v>
      </c>
      <c r="H30" s="2">
        <v>103.306</v>
      </c>
      <c r="I30" s="2">
        <v>75.945999999999998</v>
      </c>
      <c r="J30" s="2">
        <v>100.074</v>
      </c>
      <c r="K30" s="2">
        <v>139.37200000000001</v>
      </c>
      <c r="L30" s="2">
        <v>120.58</v>
      </c>
    </row>
    <row r="31" spans="1:12" x14ac:dyDescent="0.2">
      <c r="A31" t="s">
        <v>53</v>
      </c>
      <c r="B31" t="s">
        <v>52</v>
      </c>
      <c r="C31" s="2">
        <v>138.566</v>
      </c>
      <c r="D31" s="2">
        <v>96.304000000000002</v>
      </c>
      <c r="E31" s="2">
        <v>87.48</v>
      </c>
      <c r="F31" s="2">
        <v>100</v>
      </c>
      <c r="G31" s="2">
        <v>110.56699999999999</v>
      </c>
      <c r="H31" s="2">
        <v>103.209</v>
      </c>
      <c r="I31" s="2">
        <v>74.658000000000001</v>
      </c>
      <c r="J31" s="2">
        <v>99.396000000000001</v>
      </c>
      <c r="K31" s="2">
        <v>139.83199999999999</v>
      </c>
      <c r="L31" s="2">
        <v>119.851</v>
      </c>
    </row>
    <row r="32" spans="1:12" x14ac:dyDescent="0.2">
      <c r="A32" t="s">
        <v>55</v>
      </c>
      <c r="B32" t="s">
        <v>54</v>
      </c>
      <c r="C32" s="2">
        <v>103.92100000000001</v>
      </c>
      <c r="D32" s="2">
        <v>93.311000000000007</v>
      </c>
      <c r="E32" s="2">
        <v>90.212999999999994</v>
      </c>
      <c r="F32" s="2">
        <v>100</v>
      </c>
      <c r="G32" s="2">
        <v>105.22799999999999</v>
      </c>
      <c r="H32" s="2">
        <v>105.351</v>
      </c>
      <c r="I32" s="2">
        <v>103.676</v>
      </c>
      <c r="J32" s="2">
        <v>116.72499999999999</v>
      </c>
      <c r="K32" s="2">
        <v>132.58699999999999</v>
      </c>
      <c r="L32" s="2">
        <v>141.11199999999999</v>
      </c>
    </row>
    <row r="33" spans="1:12" x14ac:dyDescent="0.2">
      <c r="A33" t="s">
        <v>57</v>
      </c>
      <c r="B33" t="s">
        <v>56</v>
      </c>
      <c r="C33" s="2">
        <v>90.738</v>
      </c>
      <c r="D33" s="2">
        <v>95.135999999999996</v>
      </c>
      <c r="E33" s="2">
        <v>97.677000000000007</v>
      </c>
      <c r="F33" s="2">
        <v>100</v>
      </c>
      <c r="G33" s="2">
        <v>102.959</v>
      </c>
      <c r="H33" s="2">
        <v>106.374</v>
      </c>
      <c r="I33" s="2">
        <v>106.605</v>
      </c>
      <c r="J33" s="2">
        <v>105.553</v>
      </c>
      <c r="K33" s="2">
        <v>110.291</v>
      </c>
      <c r="L33" s="2">
        <v>116.691</v>
      </c>
    </row>
    <row r="34" spans="1:12" x14ac:dyDescent="0.2">
      <c r="A34" t="s">
        <v>59</v>
      </c>
      <c r="B34" t="s">
        <v>58</v>
      </c>
      <c r="C34" s="2">
        <v>125.352</v>
      </c>
      <c r="D34" s="2">
        <v>112.309</v>
      </c>
      <c r="E34" s="2">
        <v>98.293999999999997</v>
      </c>
      <c r="F34" s="2">
        <v>100</v>
      </c>
      <c r="G34" s="2">
        <v>113.529</v>
      </c>
      <c r="H34" s="2">
        <v>121.625</v>
      </c>
      <c r="I34" s="2">
        <v>110.146</v>
      </c>
      <c r="J34" s="2">
        <v>157.589</v>
      </c>
      <c r="K34" s="2">
        <v>159.33600000000001</v>
      </c>
      <c r="L34" s="2">
        <v>124.114</v>
      </c>
    </row>
    <row r="35" spans="1:12" x14ac:dyDescent="0.2">
      <c r="A35" t="s">
        <v>61</v>
      </c>
      <c r="B35" t="s">
        <v>60</v>
      </c>
      <c r="C35" s="2">
        <v>125.352</v>
      </c>
      <c r="D35" s="2">
        <v>112.309</v>
      </c>
      <c r="E35" s="2">
        <v>98.293999999999997</v>
      </c>
      <c r="F35" s="2">
        <v>100</v>
      </c>
      <c r="G35" s="2">
        <v>113.529</v>
      </c>
      <c r="H35" s="2">
        <v>121.625</v>
      </c>
      <c r="I35" s="2">
        <v>110.146</v>
      </c>
      <c r="J35" s="2">
        <v>157.589</v>
      </c>
      <c r="K35" s="2">
        <v>159.33600000000001</v>
      </c>
      <c r="L35" s="2">
        <v>124.114</v>
      </c>
    </row>
    <row r="36" spans="1:12" ht="14.25" x14ac:dyDescent="0.2">
      <c r="A36" t="s">
        <v>63</v>
      </c>
      <c r="B36" s="6" t="s">
        <v>157</v>
      </c>
      <c r="C36" s="16" t="s">
        <v>163</v>
      </c>
      <c r="D36" s="16" t="s">
        <v>163</v>
      </c>
      <c r="E36" s="2">
        <v>98.293999999999997</v>
      </c>
      <c r="F36" s="2">
        <v>100</v>
      </c>
      <c r="G36" s="2">
        <v>113.529</v>
      </c>
      <c r="H36" s="2">
        <v>121.625</v>
      </c>
      <c r="I36" s="2">
        <v>110.146</v>
      </c>
      <c r="J36" s="2">
        <v>157.589</v>
      </c>
      <c r="K36" s="2">
        <v>159.33600000000001</v>
      </c>
      <c r="L36" s="2">
        <v>124.114</v>
      </c>
    </row>
    <row r="37" spans="1:12" x14ac:dyDescent="0.2">
      <c r="A37" t="s">
        <v>64</v>
      </c>
      <c r="B37" t="s">
        <v>62</v>
      </c>
      <c r="C37" s="2">
        <v>101.149</v>
      </c>
      <c r="D37" s="2">
        <v>102.42</v>
      </c>
      <c r="E37" s="2">
        <v>102.008</v>
      </c>
      <c r="F37" s="2">
        <v>100</v>
      </c>
      <c r="G37" s="2">
        <v>98.150999999999996</v>
      </c>
      <c r="H37" s="2">
        <v>98.42</v>
      </c>
      <c r="I37" s="2">
        <v>99.391000000000005</v>
      </c>
      <c r="J37" s="2">
        <v>96.74</v>
      </c>
      <c r="K37" s="2">
        <v>95.941000000000003</v>
      </c>
      <c r="L37" s="2">
        <v>96.956000000000003</v>
      </c>
    </row>
    <row r="38" spans="1:12" ht="14.25" x14ac:dyDescent="0.2">
      <c r="A38" t="s">
        <v>66</v>
      </c>
      <c r="B38" s="6" t="s">
        <v>156</v>
      </c>
      <c r="C38" s="2">
        <v>101.84699999999999</v>
      </c>
      <c r="D38" s="2">
        <v>102.66</v>
      </c>
      <c r="E38" s="2">
        <v>101.833</v>
      </c>
      <c r="F38" s="2">
        <v>100</v>
      </c>
      <c r="G38" s="2">
        <v>98.155000000000001</v>
      </c>
      <c r="H38" s="2">
        <v>97.715999999999994</v>
      </c>
      <c r="I38" s="2">
        <v>98.31</v>
      </c>
      <c r="J38" s="2">
        <v>95.334000000000003</v>
      </c>
      <c r="K38" s="2">
        <v>93.015000000000001</v>
      </c>
      <c r="L38" s="2">
        <v>93.447999999999993</v>
      </c>
    </row>
    <row r="39" spans="1:12" x14ac:dyDescent="0.2">
      <c r="A39" t="s">
        <v>68</v>
      </c>
      <c r="B39" t="s">
        <v>65</v>
      </c>
      <c r="C39" s="2">
        <v>104.178</v>
      </c>
      <c r="D39" s="2">
        <v>104.364</v>
      </c>
      <c r="E39" s="2">
        <v>101.691</v>
      </c>
      <c r="F39" s="2">
        <v>100</v>
      </c>
      <c r="G39" s="2">
        <v>97.387</v>
      </c>
      <c r="H39" s="2">
        <v>107.783</v>
      </c>
      <c r="I39" s="2">
        <v>110.643</v>
      </c>
      <c r="J39" s="2">
        <v>114.905</v>
      </c>
      <c r="K39" s="2">
        <v>143.89099999999999</v>
      </c>
      <c r="L39" s="2">
        <v>167.726</v>
      </c>
    </row>
    <row r="40" spans="1:12" x14ac:dyDescent="0.2">
      <c r="A40" t="s">
        <v>70</v>
      </c>
      <c r="B40" t="s">
        <v>67</v>
      </c>
      <c r="C40" s="2">
        <v>102.072</v>
      </c>
      <c r="D40" s="2">
        <v>102.614</v>
      </c>
      <c r="E40" s="2">
        <v>101.747</v>
      </c>
      <c r="F40" s="2">
        <v>100</v>
      </c>
      <c r="G40" s="2">
        <v>98.343000000000004</v>
      </c>
      <c r="H40" s="2">
        <v>97.77</v>
      </c>
      <c r="I40" s="2">
        <v>98.239000000000004</v>
      </c>
      <c r="J40" s="2">
        <v>95.088999999999999</v>
      </c>
      <c r="K40" s="2">
        <v>92.334999999999994</v>
      </c>
      <c r="L40" s="2">
        <v>92.534999999999997</v>
      </c>
    </row>
    <row r="41" spans="1:12" x14ac:dyDescent="0.2">
      <c r="A41" t="s">
        <v>71</v>
      </c>
      <c r="B41" t="s">
        <v>69</v>
      </c>
      <c r="C41" s="2">
        <v>97.638999999999996</v>
      </c>
      <c r="D41" s="2">
        <v>103.185</v>
      </c>
      <c r="E41" s="2">
        <v>103.58199999999999</v>
      </c>
      <c r="F41" s="2">
        <v>100</v>
      </c>
      <c r="G41" s="2">
        <v>93.789000000000001</v>
      </c>
      <c r="H41" s="2">
        <v>94.728999999999999</v>
      </c>
      <c r="I41" s="2">
        <v>99.07</v>
      </c>
      <c r="J41" s="2">
        <v>101.07599999999999</v>
      </c>
      <c r="K41" s="2">
        <v>110.45</v>
      </c>
      <c r="L41" s="2">
        <v>117.06100000000001</v>
      </c>
    </row>
    <row r="42" spans="1:12" ht="14.25" x14ac:dyDescent="0.2">
      <c r="A42" t="s">
        <v>73</v>
      </c>
      <c r="B42" s="6" t="s">
        <v>155</v>
      </c>
      <c r="C42" s="2">
        <v>97.798000000000002</v>
      </c>
      <c r="D42" s="2">
        <v>101.224</v>
      </c>
      <c r="E42" s="2">
        <v>103.039</v>
      </c>
      <c r="F42" s="2">
        <v>100</v>
      </c>
      <c r="G42" s="2">
        <v>98.120999999999995</v>
      </c>
      <c r="H42" s="2">
        <v>103.477</v>
      </c>
      <c r="I42" s="2">
        <v>108.074</v>
      </c>
      <c r="J42" s="2">
        <v>109.241</v>
      </c>
      <c r="K42" s="2">
        <v>124.19</v>
      </c>
      <c r="L42" s="2">
        <v>131.459</v>
      </c>
    </row>
    <row r="43" spans="1:12" x14ac:dyDescent="0.2">
      <c r="A43" t="s">
        <v>75</v>
      </c>
      <c r="B43" t="s">
        <v>72</v>
      </c>
      <c r="C43" s="2">
        <v>97.632000000000005</v>
      </c>
      <c r="D43" s="2">
        <v>103.158</v>
      </c>
      <c r="E43" s="2">
        <v>103.557</v>
      </c>
      <c r="F43" s="2">
        <v>100</v>
      </c>
      <c r="G43" s="2">
        <v>94.058000000000007</v>
      </c>
      <c r="H43" s="2">
        <v>95.638000000000005</v>
      </c>
      <c r="I43" s="2">
        <v>100.232</v>
      </c>
      <c r="J43" s="2">
        <v>102.443</v>
      </c>
      <c r="K43" s="2">
        <v>112.239</v>
      </c>
      <c r="L43" s="2">
        <v>119.21899999999999</v>
      </c>
    </row>
    <row r="44" spans="1:12" x14ac:dyDescent="0.2">
      <c r="A44" t="s">
        <v>77</v>
      </c>
      <c r="B44" t="s">
        <v>74</v>
      </c>
      <c r="C44" s="2">
        <v>97.632000000000005</v>
      </c>
      <c r="D44" s="2">
        <v>103.158</v>
      </c>
      <c r="E44" s="2">
        <v>103.557</v>
      </c>
      <c r="F44" s="2">
        <v>100</v>
      </c>
      <c r="G44" s="2">
        <v>94.058000000000007</v>
      </c>
      <c r="H44" s="2">
        <v>95.638000000000005</v>
      </c>
      <c r="I44" s="2">
        <v>100.232</v>
      </c>
      <c r="J44" s="2">
        <v>102.443</v>
      </c>
      <c r="K44" s="2">
        <v>112.239</v>
      </c>
      <c r="L44" s="2">
        <v>119.21899999999999</v>
      </c>
    </row>
    <row r="45" spans="1:12" x14ac:dyDescent="0.2">
      <c r="A45" t="s">
        <v>79</v>
      </c>
      <c r="B45" t="s">
        <v>76</v>
      </c>
      <c r="C45" s="2">
        <v>101.4</v>
      </c>
      <c r="D45" s="2">
        <v>102.27800000000001</v>
      </c>
      <c r="E45" s="2">
        <v>103.813</v>
      </c>
      <c r="F45" s="2">
        <v>100</v>
      </c>
      <c r="G45" s="2">
        <v>103.89</v>
      </c>
      <c r="H45" s="2">
        <v>115.749</v>
      </c>
      <c r="I45" s="2">
        <v>119.017</v>
      </c>
      <c r="J45" s="2">
        <v>120.316</v>
      </c>
      <c r="K45" s="2">
        <v>149.79</v>
      </c>
      <c r="L45" s="2">
        <v>148.328</v>
      </c>
    </row>
    <row r="46" spans="1:12" x14ac:dyDescent="0.2">
      <c r="A46" t="s">
        <v>81</v>
      </c>
      <c r="B46" t="s">
        <v>78</v>
      </c>
      <c r="C46" s="2">
        <v>94.768000000000001</v>
      </c>
      <c r="D46" s="2">
        <v>95.676000000000002</v>
      </c>
      <c r="E46" s="2">
        <v>100.687</v>
      </c>
      <c r="F46" s="2">
        <v>100</v>
      </c>
      <c r="G46" s="2">
        <v>103.514</v>
      </c>
      <c r="H46" s="2">
        <v>110.812</v>
      </c>
      <c r="I46" s="2">
        <v>114.887</v>
      </c>
      <c r="J46" s="2">
        <v>114.854</v>
      </c>
      <c r="K46" s="2">
        <v>132.02000000000001</v>
      </c>
      <c r="L46" s="2">
        <v>143.89599999999999</v>
      </c>
    </row>
    <row r="47" spans="1:12" x14ac:dyDescent="0.2">
      <c r="A47" t="s">
        <v>83</v>
      </c>
      <c r="B47" t="s">
        <v>80</v>
      </c>
      <c r="C47" s="2">
        <v>98.754000000000005</v>
      </c>
      <c r="D47" s="2">
        <v>102.774</v>
      </c>
      <c r="E47" s="2">
        <v>103.79900000000001</v>
      </c>
      <c r="F47" s="2">
        <v>100</v>
      </c>
      <c r="G47" s="2">
        <v>96.744</v>
      </c>
      <c r="H47" s="2">
        <v>102.242</v>
      </c>
      <c r="I47" s="2">
        <v>107.249</v>
      </c>
      <c r="J47" s="2">
        <v>108.52800000000001</v>
      </c>
      <c r="K47" s="2">
        <v>123.20399999999999</v>
      </c>
      <c r="L47" s="2">
        <v>127.895</v>
      </c>
    </row>
    <row r="48" spans="1:12" x14ac:dyDescent="0.2">
      <c r="A48" t="s">
        <v>85</v>
      </c>
      <c r="B48" t="s">
        <v>82</v>
      </c>
      <c r="C48" s="2">
        <v>93.775999999999996</v>
      </c>
      <c r="D48" s="2">
        <v>96.71</v>
      </c>
      <c r="E48" s="2">
        <v>98.367999999999995</v>
      </c>
      <c r="F48" s="2">
        <v>100</v>
      </c>
      <c r="G48" s="2">
        <v>102.78100000000001</v>
      </c>
      <c r="H48" s="2">
        <v>105.72499999999999</v>
      </c>
      <c r="I48" s="2">
        <v>104.104</v>
      </c>
      <c r="J48" s="2">
        <v>109.41200000000001</v>
      </c>
      <c r="K48" s="2">
        <v>120.325</v>
      </c>
      <c r="L48" s="2">
        <v>128.702</v>
      </c>
    </row>
    <row r="49" spans="1:12" x14ac:dyDescent="0.2">
      <c r="A49" t="s">
        <v>87</v>
      </c>
      <c r="B49" t="s">
        <v>84</v>
      </c>
      <c r="C49" s="2">
        <v>90.635000000000005</v>
      </c>
      <c r="D49" s="2">
        <v>95.311999999999998</v>
      </c>
      <c r="E49" s="2">
        <v>98.786000000000001</v>
      </c>
      <c r="F49" s="2">
        <v>100</v>
      </c>
      <c r="G49" s="2">
        <v>103.26300000000001</v>
      </c>
      <c r="H49" s="2">
        <v>107.89100000000001</v>
      </c>
      <c r="I49" s="2">
        <v>112.756</v>
      </c>
      <c r="J49" s="2">
        <v>113.446</v>
      </c>
      <c r="K49" s="2">
        <v>119.66</v>
      </c>
      <c r="L49" s="2">
        <v>137.827</v>
      </c>
    </row>
    <row r="50" spans="1:12" x14ac:dyDescent="0.2">
      <c r="A50" t="s">
        <v>89</v>
      </c>
      <c r="B50" t="s">
        <v>86</v>
      </c>
      <c r="C50" s="2">
        <v>90.652000000000001</v>
      </c>
      <c r="D50" s="2">
        <v>95.317999999999998</v>
      </c>
      <c r="E50" s="2">
        <v>98.903000000000006</v>
      </c>
      <c r="F50" s="2">
        <v>100</v>
      </c>
      <c r="G50" s="2">
        <v>102.901</v>
      </c>
      <c r="H50" s="2">
        <v>107.532</v>
      </c>
      <c r="I50" s="2">
        <v>112.137</v>
      </c>
      <c r="J50" s="2">
        <v>112.709</v>
      </c>
      <c r="K50" s="2">
        <v>119.685</v>
      </c>
      <c r="L50" s="2">
        <v>138.86099999999999</v>
      </c>
    </row>
    <row r="51" spans="1:12" x14ac:dyDescent="0.2">
      <c r="A51" t="s">
        <v>91</v>
      </c>
      <c r="B51" t="s">
        <v>88</v>
      </c>
      <c r="C51" s="2">
        <v>90.569000000000003</v>
      </c>
      <c r="D51" s="2">
        <v>95.254000000000005</v>
      </c>
      <c r="E51" s="2">
        <v>98.594999999999999</v>
      </c>
      <c r="F51" s="2">
        <v>100</v>
      </c>
      <c r="G51" s="2">
        <v>103.91800000000001</v>
      </c>
      <c r="H51" s="2">
        <v>108.539</v>
      </c>
      <c r="I51" s="2">
        <v>114.07599999999999</v>
      </c>
      <c r="J51" s="2">
        <v>115.10599999999999</v>
      </c>
      <c r="K51" s="2">
        <v>119.295</v>
      </c>
      <c r="L51" s="2">
        <v>134.989</v>
      </c>
    </row>
    <row r="52" spans="1:12" x14ac:dyDescent="0.2">
      <c r="A52" t="s">
        <v>93</v>
      </c>
      <c r="B52" t="s">
        <v>90</v>
      </c>
      <c r="C52" s="2">
        <v>101.16500000000001</v>
      </c>
      <c r="D52" s="2">
        <v>102.033</v>
      </c>
      <c r="E52" s="2">
        <v>101.381</v>
      </c>
      <c r="F52" s="2">
        <v>100</v>
      </c>
      <c r="G52" s="2">
        <v>99.307000000000002</v>
      </c>
      <c r="H52" s="2">
        <v>105.92700000000001</v>
      </c>
      <c r="I52" s="2">
        <v>104.797</v>
      </c>
      <c r="J52" s="2">
        <v>108.955</v>
      </c>
      <c r="K52" s="2">
        <v>118.718</v>
      </c>
      <c r="L52" s="2">
        <v>124.53700000000001</v>
      </c>
    </row>
    <row r="53" spans="1:12" x14ac:dyDescent="0.2">
      <c r="A53" t="s">
        <v>95</v>
      </c>
      <c r="B53" t="s">
        <v>92</v>
      </c>
      <c r="C53" s="2">
        <v>96.442999999999998</v>
      </c>
      <c r="D53" s="2">
        <v>99.096000000000004</v>
      </c>
      <c r="E53" s="2">
        <v>98.533000000000001</v>
      </c>
      <c r="F53" s="2">
        <v>100</v>
      </c>
      <c r="G53" s="2">
        <v>104.102</v>
      </c>
      <c r="H53" s="2">
        <v>105.20099999999999</v>
      </c>
      <c r="I53" s="2">
        <v>104.063</v>
      </c>
      <c r="J53" s="2">
        <v>113.099</v>
      </c>
      <c r="K53" s="2">
        <v>131.07499999999999</v>
      </c>
      <c r="L53" s="2">
        <v>135.94800000000001</v>
      </c>
    </row>
    <row r="54" spans="1:12" x14ac:dyDescent="0.2">
      <c r="A54" t="s">
        <v>97</v>
      </c>
      <c r="B54" t="s">
        <v>94</v>
      </c>
      <c r="C54" s="2">
        <v>95.507999999999996</v>
      </c>
      <c r="D54" s="2">
        <v>98.906999999999996</v>
      </c>
      <c r="E54" s="2">
        <v>101.236</v>
      </c>
      <c r="F54" s="2">
        <v>100</v>
      </c>
      <c r="G54" s="2">
        <v>103.797</v>
      </c>
      <c r="H54" s="2">
        <v>108.754</v>
      </c>
      <c r="I54" s="2">
        <v>112.834</v>
      </c>
      <c r="J54" s="2">
        <v>115.732</v>
      </c>
      <c r="K54" s="2">
        <v>123.15600000000001</v>
      </c>
      <c r="L54" s="2">
        <v>136.15199999999999</v>
      </c>
    </row>
    <row r="55" spans="1:12" x14ac:dyDescent="0.2">
      <c r="A55" t="s">
        <v>99</v>
      </c>
      <c r="B55" t="s">
        <v>96</v>
      </c>
      <c r="C55" s="2">
        <v>94.807000000000002</v>
      </c>
      <c r="D55" s="2">
        <v>97.531000000000006</v>
      </c>
      <c r="E55" s="2">
        <v>99.304000000000002</v>
      </c>
      <c r="F55" s="2">
        <v>100</v>
      </c>
      <c r="G55" s="2">
        <v>104.41800000000001</v>
      </c>
      <c r="H55" s="2">
        <v>109.235</v>
      </c>
      <c r="I55" s="2">
        <v>110.68</v>
      </c>
      <c r="J55" s="2">
        <v>114.244</v>
      </c>
      <c r="K55" s="2">
        <v>126.41800000000001</v>
      </c>
      <c r="L55" s="2">
        <v>139.09800000000001</v>
      </c>
    </row>
    <row r="56" spans="1:12" x14ac:dyDescent="0.2">
      <c r="A56" t="s">
        <v>101</v>
      </c>
      <c r="B56" t="s">
        <v>98</v>
      </c>
      <c r="C56" s="2">
        <v>96.105000000000004</v>
      </c>
      <c r="D56" s="2">
        <v>98.331999999999994</v>
      </c>
      <c r="E56" s="2">
        <v>100.46599999999999</v>
      </c>
      <c r="F56" s="2">
        <v>100</v>
      </c>
      <c r="G56" s="2">
        <v>102.42700000000001</v>
      </c>
      <c r="H56" s="2">
        <v>107.178</v>
      </c>
      <c r="I56" s="2">
        <v>110.114</v>
      </c>
      <c r="J56" s="2">
        <v>115.312</v>
      </c>
      <c r="K56" s="2">
        <v>124.855</v>
      </c>
      <c r="L56" s="2">
        <v>134.86600000000001</v>
      </c>
    </row>
    <row r="57" spans="1:12" x14ac:dyDescent="0.2">
      <c r="A57" t="s">
        <v>102</v>
      </c>
      <c r="B57" t="s">
        <v>100</v>
      </c>
      <c r="C57" s="2">
        <v>93.661000000000001</v>
      </c>
      <c r="D57" s="2">
        <v>95.471000000000004</v>
      </c>
      <c r="E57" s="2">
        <v>98.307000000000002</v>
      </c>
      <c r="F57" s="2">
        <v>100</v>
      </c>
      <c r="G57" s="2">
        <v>103.80500000000001</v>
      </c>
      <c r="H57" s="2">
        <v>109.616</v>
      </c>
      <c r="I57" s="2">
        <v>110.11</v>
      </c>
      <c r="J57" s="2">
        <v>118.76600000000001</v>
      </c>
      <c r="K57" s="2">
        <v>129.11000000000001</v>
      </c>
      <c r="L57" s="2">
        <v>141.012</v>
      </c>
    </row>
    <row r="58" spans="1:12" ht="14.25" x14ac:dyDescent="0.2">
      <c r="A58" t="s">
        <v>103</v>
      </c>
      <c r="B58" s="6" t="s">
        <v>154</v>
      </c>
      <c r="C58" s="2">
        <v>99.242999999999995</v>
      </c>
      <c r="D58" s="2">
        <v>101.693</v>
      </c>
      <c r="E58" s="2">
        <v>96.754999999999995</v>
      </c>
      <c r="F58" s="2">
        <v>100</v>
      </c>
      <c r="G58" s="2">
        <v>103.71899999999999</v>
      </c>
      <c r="H58" s="2">
        <v>99.081000000000003</v>
      </c>
      <c r="I58" s="2">
        <v>93.328999999999994</v>
      </c>
      <c r="J58" s="2">
        <v>111.23399999999999</v>
      </c>
      <c r="K58" s="2">
        <v>139.41</v>
      </c>
      <c r="L58" s="2">
        <v>132.114</v>
      </c>
    </row>
    <row r="59" spans="1:12" ht="14.25" x14ac:dyDescent="0.2">
      <c r="A59" t="s">
        <v>105</v>
      </c>
      <c r="B59" s="6" t="s">
        <v>153</v>
      </c>
      <c r="C59" s="2">
        <v>98.519000000000005</v>
      </c>
      <c r="D59" s="2">
        <v>100.16500000000001</v>
      </c>
      <c r="E59" s="2">
        <v>100.911</v>
      </c>
      <c r="F59" s="2">
        <v>100</v>
      </c>
      <c r="G59" s="2">
        <v>101.48099999999999</v>
      </c>
      <c r="H59" s="2">
        <v>104.54600000000001</v>
      </c>
      <c r="I59" s="2">
        <v>110.40900000000001</v>
      </c>
      <c r="J59" s="2">
        <v>126.06100000000001</v>
      </c>
      <c r="K59" s="2">
        <v>134.47300000000001</v>
      </c>
      <c r="L59" s="2">
        <v>138.53100000000001</v>
      </c>
    </row>
    <row r="60" spans="1:12" x14ac:dyDescent="0.2">
      <c r="A60" t="s">
        <v>107</v>
      </c>
      <c r="B60" t="s">
        <v>104</v>
      </c>
      <c r="C60" s="2">
        <v>96.932000000000002</v>
      </c>
      <c r="D60" s="2">
        <v>98.878</v>
      </c>
      <c r="E60" s="2">
        <v>99.772000000000006</v>
      </c>
      <c r="F60" s="2">
        <v>100</v>
      </c>
      <c r="G60" s="2">
        <v>100.27500000000001</v>
      </c>
      <c r="H60" s="2">
        <v>102.851</v>
      </c>
      <c r="I60" s="2">
        <v>99.738</v>
      </c>
      <c r="J60" s="2">
        <v>104.878</v>
      </c>
      <c r="K60" s="2">
        <v>112.37</v>
      </c>
      <c r="L60" s="2">
        <v>121.5</v>
      </c>
    </row>
    <row r="61" spans="1:12" x14ac:dyDescent="0.2">
      <c r="A61" t="s">
        <v>109</v>
      </c>
      <c r="B61" t="s">
        <v>106</v>
      </c>
      <c r="C61" s="2">
        <v>92.125</v>
      </c>
      <c r="D61" s="2">
        <v>94.921000000000006</v>
      </c>
      <c r="E61" s="2">
        <v>97.290999999999997</v>
      </c>
      <c r="F61" s="2">
        <v>100</v>
      </c>
      <c r="G61" s="2">
        <v>99.515000000000001</v>
      </c>
      <c r="H61" s="2">
        <v>101.258</v>
      </c>
      <c r="I61" s="2">
        <v>105.383</v>
      </c>
      <c r="J61" s="2">
        <v>107.056</v>
      </c>
      <c r="K61" s="2">
        <v>112.729</v>
      </c>
      <c r="L61" s="2">
        <v>122.45399999999999</v>
      </c>
    </row>
    <row r="62" spans="1:12" x14ac:dyDescent="0.2">
      <c r="A62" t="s">
        <v>111</v>
      </c>
      <c r="B62" t="s">
        <v>108</v>
      </c>
      <c r="C62" s="2">
        <v>98.406000000000006</v>
      </c>
      <c r="D62" s="2">
        <v>98.866</v>
      </c>
      <c r="E62" s="2">
        <v>100.55200000000001</v>
      </c>
      <c r="F62" s="2">
        <v>100</v>
      </c>
      <c r="G62" s="2">
        <v>98.183999999999997</v>
      </c>
      <c r="H62" s="2">
        <v>101.22499999999999</v>
      </c>
      <c r="I62" s="2">
        <v>104.197</v>
      </c>
      <c r="J62" s="2">
        <v>114.199</v>
      </c>
      <c r="K62" s="2">
        <v>127.54900000000001</v>
      </c>
      <c r="L62" s="2">
        <v>132.291</v>
      </c>
    </row>
    <row r="63" spans="1:12" x14ac:dyDescent="0.2">
      <c r="A63" t="s">
        <v>113</v>
      </c>
      <c r="B63" t="s">
        <v>110</v>
      </c>
      <c r="C63" s="2">
        <v>84.852999999999994</v>
      </c>
      <c r="D63" s="2">
        <v>90.424999999999997</v>
      </c>
      <c r="E63" s="2">
        <v>96.212999999999994</v>
      </c>
      <c r="F63" s="2">
        <v>100</v>
      </c>
      <c r="G63" s="2">
        <v>103.328</v>
      </c>
      <c r="H63" s="2">
        <v>109.286</v>
      </c>
      <c r="I63" s="2">
        <v>117.214</v>
      </c>
      <c r="J63" s="2">
        <v>121.733</v>
      </c>
      <c r="K63" s="2">
        <v>131.602</v>
      </c>
      <c r="L63" s="2">
        <v>143.53299999999999</v>
      </c>
    </row>
    <row r="64" spans="1:12" x14ac:dyDescent="0.2">
      <c r="A64" t="s">
        <v>114</v>
      </c>
      <c r="B64" t="s">
        <v>112</v>
      </c>
      <c r="C64" s="2">
        <v>97.453000000000003</v>
      </c>
      <c r="D64" s="2">
        <v>103.137</v>
      </c>
      <c r="E64" s="2">
        <v>100.17100000000001</v>
      </c>
      <c r="F64" s="2">
        <v>100</v>
      </c>
      <c r="G64" s="2">
        <v>101.336</v>
      </c>
      <c r="H64" s="2">
        <v>104.288</v>
      </c>
      <c r="I64" s="2">
        <v>101.47</v>
      </c>
      <c r="J64" s="2">
        <v>106.18300000000001</v>
      </c>
      <c r="K64" s="2">
        <v>116.133</v>
      </c>
      <c r="L64" s="2">
        <v>122.303</v>
      </c>
    </row>
    <row r="65" spans="1:12" x14ac:dyDescent="0.2">
      <c r="A65" t="s">
        <v>116</v>
      </c>
      <c r="B65" s="6" t="s">
        <v>142</v>
      </c>
      <c r="C65" s="2">
        <v>92.899000000000001</v>
      </c>
      <c r="D65" s="2">
        <v>96.486999999999995</v>
      </c>
      <c r="E65" s="2">
        <v>98.475999999999999</v>
      </c>
      <c r="F65" s="2">
        <v>100</v>
      </c>
      <c r="G65" s="2">
        <v>103.411</v>
      </c>
      <c r="H65" s="2">
        <v>107.512</v>
      </c>
      <c r="I65" s="2">
        <v>99.164000000000001</v>
      </c>
      <c r="J65" s="2">
        <v>105.443</v>
      </c>
      <c r="K65" s="2">
        <v>122.006</v>
      </c>
      <c r="L65" s="2">
        <v>136.38499999999999</v>
      </c>
    </row>
    <row r="66" spans="1:12" x14ac:dyDescent="0.2">
      <c r="A66" t="s">
        <v>118</v>
      </c>
      <c r="B66" t="s">
        <v>115</v>
      </c>
      <c r="C66" s="2">
        <v>106.90600000000001</v>
      </c>
      <c r="D66" s="2">
        <v>103.181</v>
      </c>
      <c r="E66" s="2">
        <v>94.688999999999993</v>
      </c>
      <c r="F66" s="2">
        <v>100</v>
      </c>
      <c r="G66" s="2">
        <v>100.371</v>
      </c>
      <c r="H66" s="2">
        <v>93.358999999999995</v>
      </c>
      <c r="I66" s="2">
        <v>99.852999999999994</v>
      </c>
      <c r="J66" s="2">
        <v>108.3</v>
      </c>
      <c r="K66" s="2">
        <v>100.36</v>
      </c>
      <c r="L66" s="2">
        <v>108.703</v>
      </c>
    </row>
    <row r="67" spans="1:12" x14ac:dyDescent="0.2">
      <c r="A67" t="s">
        <v>120</v>
      </c>
      <c r="B67" t="s">
        <v>117</v>
      </c>
      <c r="C67" s="2">
        <v>102.669</v>
      </c>
      <c r="D67" s="2">
        <v>102.3</v>
      </c>
      <c r="E67" s="2">
        <v>101.79600000000001</v>
      </c>
      <c r="F67" s="2">
        <v>100</v>
      </c>
      <c r="G67" s="2">
        <v>98.228999999999999</v>
      </c>
      <c r="H67" s="2">
        <v>99.495999999999995</v>
      </c>
      <c r="I67" s="2">
        <v>94.29</v>
      </c>
      <c r="J67" s="2">
        <v>99.683999999999997</v>
      </c>
      <c r="K67" s="2">
        <v>102.91200000000001</v>
      </c>
      <c r="L67" s="2">
        <v>109.846</v>
      </c>
    </row>
    <row r="68" spans="1:12" x14ac:dyDescent="0.2">
      <c r="A68" t="s">
        <v>122</v>
      </c>
      <c r="B68" t="s">
        <v>119</v>
      </c>
      <c r="C68" s="2">
        <v>92.587000000000003</v>
      </c>
      <c r="D68" s="2">
        <v>95.661000000000001</v>
      </c>
      <c r="E68" s="2">
        <v>97.858000000000004</v>
      </c>
      <c r="F68" s="2">
        <v>100</v>
      </c>
      <c r="G68" s="2">
        <v>103.092</v>
      </c>
      <c r="H68" s="2">
        <v>106.166</v>
      </c>
      <c r="I68" s="2">
        <v>103.72799999999999</v>
      </c>
      <c r="J68" s="2">
        <v>108.27800000000001</v>
      </c>
      <c r="K68" s="2">
        <v>119.128</v>
      </c>
      <c r="L68" s="2">
        <v>127.084</v>
      </c>
    </row>
    <row r="69" spans="1:12" x14ac:dyDescent="0.2">
      <c r="A69" t="s">
        <v>124</v>
      </c>
      <c r="B69" t="s">
        <v>121</v>
      </c>
      <c r="C69" s="2">
        <v>88.355000000000004</v>
      </c>
      <c r="D69" s="2">
        <v>93.212999999999994</v>
      </c>
      <c r="E69" s="2">
        <v>97.17</v>
      </c>
      <c r="F69" s="2">
        <v>100</v>
      </c>
      <c r="G69" s="2">
        <v>103.16</v>
      </c>
      <c r="H69" s="2">
        <v>106.705</v>
      </c>
      <c r="I69" s="2">
        <v>113.18</v>
      </c>
      <c r="J69" s="2">
        <v>118.59699999999999</v>
      </c>
      <c r="K69" s="2">
        <v>128.21700000000001</v>
      </c>
      <c r="L69" s="2">
        <v>143.01599999999999</v>
      </c>
    </row>
    <row r="70" spans="1:12" x14ac:dyDescent="0.2">
      <c r="A70" t="s">
        <v>126</v>
      </c>
      <c r="B70" t="s">
        <v>123</v>
      </c>
      <c r="C70" s="2">
        <v>91.441000000000003</v>
      </c>
      <c r="D70" s="2">
        <v>94.391000000000005</v>
      </c>
      <c r="E70" s="2">
        <v>97.388000000000005</v>
      </c>
      <c r="F70" s="2">
        <v>100</v>
      </c>
      <c r="G70" s="2">
        <v>103.617</v>
      </c>
      <c r="H70" s="2">
        <v>107.105</v>
      </c>
      <c r="I70" s="2">
        <v>104.99299999999999</v>
      </c>
      <c r="J70" s="2">
        <v>108.634</v>
      </c>
      <c r="K70" s="2">
        <v>117.69799999999999</v>
      </c>
      <c r="L70" s="2">
        <v>125.48699999999999</v>
      </c>
    </row>
    <row r="71" spans="1:12" x14ac:dyDescent="0.2">
      <c r="A71" t="s">
        <v>128</v>
      </c>
      <c r="B71" t="s">
        <v>125</v>
      </c>
      <c r="C71" s="2">
        <v>99.869</v>
      </c>
      <c r="D71" s="2">
        <v>100.711</v>
      </c>
      <c r="E71" s="2">
        <v>100.83499999999999</v>
      </c>
      <c r="F71" s="2">
        <v>100</v>
      </c>
      <c r="G71" s="2">
        <v>100.249</v>
      </c>
      <c r="H71" s="2">
        <v>103.815</v>
      </c>
      <c r="I71" s="2">
        <v>95.326999999999998</v>
      </c>
      <c r="J71" s="2">
        <v>95.778000000000006</v>
      </c>
      <c r="K71" s="2">
        <v>102.684</v>
      </c>
      <c r="L71" s="2">
        <v>115.30800000000001</v>
      </c>
    </row>
    <row r="72" spans="1:12" x14ac:dyDescent="0.2">
      <c r="A72" t="s">
        <v>130</v>
      </c>
      <c r="B72" t="s">
        <v>127</v>
      </c>
      <c r="C72" s="2">
        <v>100.84699999999999</v>
      </c>
      <c r="D72" s="2">
        <v>103.066</v>
      </c>
      <c r="E72" s="2">
        <v>100.124</v>
      </c>
      <c r="F72" s="2">
        <v>100</v>
      </c>
      <c r="G72" s="2">
        <v>101.27500000000001</v>
      </c>
      <c r="H72" s="2">
        <v>102.446</v>
      </c>
      <c r="I72" s="2">
        <v>91.786000000000001</v>
      </c>
      <c r="J72" s="2">
        <v>102.08499999999999</v>
      </c>
      <c r="K72" s="2">
        <v>122.767</v>
      </c>
      <c r="L72" s="2">
        <v>126.27</v>
      </c>
    </row>
    <row r="73" spans="1:12" x14ac:dyDescent="0.2">
      <c r="A73" t="s">
        <v>132</v>
      </c>
      <c r="B73" t="s">
        <v>129</v>
      </c>
      <c r="C73" s="2">
        <v>95.756</v>
      </c>
      <c r="D73" s="2">
        <v>97.397000000000006</v>
      </c>
      <c r="E73" s="2">
        <v>98.405000000000001</v>
      </c>
      <c r="F73" s="2">
        <v>100</v>
      </c>
      <c r="G73" s="2">
        <v>103.048</v>
      </c>
      <c r="H73" s="2">
        <v>104.938</v>
      </c>
      <c r="I73" s="2">
        <v>107.846</v>
      </c>
      <c r="J73" s="2">
        <v>111.238</v>
      </c>
      <c r="K73" s="2">
        <v>117.21599999999999</v>
      </c>
      <c r="L73" s="2">
        <v>125.747</v>
      </c>
    </row>
    <row r="74" spans="1:12" x14ac:dyDescent="0.2">
      <c r="A74" t="s">
        <v>134</v>
      </c>
      <c r="B74" t="s">
        <v>131</v>
      </c>
      <c r="C74" s="2">
        <v>95.775999999999996</v>
      </c>
      <c r="D74" s="2">
        <v>97.432000000000002</v>
      </c>
      <c r="E74" s="2">
        <v>98.436000000000007</v>
      </c>
      <c r="F74" s="2">
        <v>100</v>
      </c>
      <c r="G74" s="2">
        <v>103.012</v>
      </c>
      <c r="H74" s="2">
        <v>104.84399999999999</v>
      </c>
      <c r="I74" s="2">
        <v>107.79300000000001</v>
      </c>
      <c r="J74" s="2">
        <v>111.224</v>
      </c>
      <c r="K74" s="2">
        <v>117.255</v>
      </c>
      <c r="L74" s="2">
        <v>126.044</v>
      </c>
    </row>
    <row r="75" spans="1:12" x14ac:dyDescent="0.2">
      <c r="A75" t="s">
        <v>145</v>
      </c>
      <c r="B75" t="s">
        <v>133</v>
      </c>
      <c r="C75" s="2">
        <v>94.507000000000005</v>
      </c>
      <c r="D75" s="2">
        <v>96.004999999999995</v>
      </c>
      <c r="E75" s="2">
        <v>97.460999999999999</v>
      </c>
      <c r="F75" s="2">
        <v>100</v>
      </c>
      <c r="G75" s="2">
        <v>103.74</v>
      </c>
      <c r="H75" s="2">
        <v>106.029</v>
      </c>
      <c r="I75" s="2">
        <v>107.10899999999999</v>
      </c>
      <c r="J75" s="2">
        <v>109.88800000000001</v>
      </c>
      <c r="K75" s="2">
        <v>112.871</v>
      </c>
      <c r="L75" s="2">
        <v>120.501</v>
      </c>
    </row>
    <row r="76" spans="1:12" x14ac:dyDescent="0.2">
      <c r="A76" s="7" t="s">
        <v>146</v>
      </c>
      <c r="B76" s="7" t="s">
        <v>135</v>
      </c>
      <c r="C76" s="9">
        <v>98.328999999999994</v>
      </c>
      <c r="D76" s="9">
        <v>99.641000000000005</v>
      </c>
      <c r="E76" s="9">
        <v>99.602000000000004</v>
      </c>
      <c r="F76" s="9">
        <v>100</v>
      </c>
      <c r="G76" s="9">
        <v>102.771</v>
      </c>
      <c r="H76" s="9">
        <v>105.992</v>
      </c>
      <c r="I76" s="9">
        <v>111.935</v>
      </c>
      <c r="J76" s="9">
        <v>115.301</v>
      </c>
      <c r="K76" s="9">
        <v>126.381</v>
      </c>
      <c r="L76" s="9">
        <v>127.92700000000001</v>
      </c>
    </row>
    <row r="77" spans="1:12" ht="12.95" customHeight="1" x14ac:dyDescent="0.2">
      <c r="A77" s="21" t="s">
        <v>162</v>
      </c>
      <c r="B77" s="21"/>
      <c r="C77" s="21"/>
      <c r="D77" s="21"/>
      <c r="E77" s="21"/>
      <c r="F77" s="21"/>
      <c r="G77" s="21"/>
      <c r="H77" s="21"/>
      <c r="I77" s="21"/>
      <c r="J77" s="21"/>
      <c r="K77" s="21"/>
      <c r="L77" s="21"/>
    </row>
    <row r="78" spans="1:12" s="6" customFormat="1" ht="27.95" customHeight="1" x14ac:dyDescent="0.2">
      <c r="A78" s="17" t="s">
        <v>152</v>
      </c>
      <c r="B78" s="17"/>
      <c r="C78" s="17"/>
      <c r="D78" s="17"/>
      <c r="E78" s="17"/>
      <c r="F78" s="17"/>
      <c r="G78" s="17"/>
      <c r="H78" s="17"/>
      <c r="I78" s="17"/>
      <c r="J78" s="17"/>
      <c r="K78" s="17"/>
      <c r="L78" s="17"/>
    </row>
    <row r="79" spans="1:12" s="6" customFormat="1" ht="27.95" customHeight="1" x14ac:dyDescent="0.2">
      <c r="A79" s="17" t="s">
        <v>151</v>
      </c>
      <c r="B79" s="17"/>
      <c r="C79" s="17"/>
      <c r="D79" s="17"/>
      <c r="E79" s="17"/>
      <c r="F79" s="17"/>
      <c r="G79" s="17"/>
      <c r="H79" s="17"/>
      <c r="I79" s="17"/>
      <c r="J79" s="17"/>
      <c r="K79" s="17"/>
      <c r="L79" s="17"/>
    </row>
    <row r="80" spans="1:12" s="6" customFormat="1" ht="12.95" customHeight="1" x14ac:dyDescent="0.2">
      <c r="A80" s="17" t="s">
        <v>150</v>
      </c>
      <c r="B80" s="17"/>
      <c r="C80" s="17"/>
      <c r="D80" s="17"/>
      <c r="E80" s="17"/>
      <c r="F80" s="17"/>
      <c r="G80" s="17"/>
      <c r="H80" s="17"/>
      <c r="I80" s="17"/>
      <c r="J80" s="17"/>
      <c r="K80" s="17"/>
      <c r="L80" s="17"/>
    </row>
    <row r="81" spans="1:12" s="6" customFormat="1" ht="12.95" customHeight="1" x14ac:dyDescent="0.2">
      <c r="A81" s="17" t="s">
        <v>149</v>
      </c>
      <c r="B81" s="17"/>
      <c r="C81" s="17"/>
      <c r="D81" s="17"/>
      <c r="E81" s="17"/>
      <c r="F81" s="17"/>
      <c r="G81" s="17"/>
      <c r="H81" s="17"/>
      <c r="I81" s="17"/>
      <c r="J81" s="17"/>
      <c r="K81" s="17"/>
      <c r="L81" s="17"/>
    </row>
  </sheetData>
  <mergeCells count="7">
    <mergeCell ref="A81:L81"/>
    <mergeCell ref="A80:L80"/>
    <mergeCell ref="A1:L1"/>
    <mergeCell ref="A2:L2"/>
    <mergeCell ref="A77:L77"/>
    <mergeCell ref="A78:L78"/>
    <mergeCell ref="A79:L79"/>
  </mergeCells>
  <phoneticPr fontId="7" type="noConversion"/>
  <pageMargins left="0.75" right="0.75" top="1" bottom="1" header="0.5" footer="0.5"/>
  <pageSetup orientation="portrait" horizontalDpi="300" verticalDpi="300" r:id="rId1"/>
  <headerFooter alignWithMargins="0"/>
  <customProperties>
    <customPr name="SourceTableID"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CF3C2-9535-4C5B-8A4C-589A6D556F00}">
  <dimension ref="A1:L82"/>
  <sheetViews>
    <sheetView workbookViewId="0">
      <pane ySplit="3" topLeftCell="A4" activePane="bottomLeft" state="frozen"/>
      <selection sqref="A1:L1"/>
      <selection pane="bottomLeft" sqref="A1:K1"/>
    </sheetView>
  </sheetViews>
  <sheetFormatPr defaultRowHeight="12.75" x14ac:dyDescent="0.2"/>
  <cols>
    <col min="2" max="2" width="70.7109375" customWidth="1"/>
    <col min="3" max="12" width="9.7109375" customWidth="1"/>
  </cols>
  <sheetData>
    <row r="1" spans="1:11" ht="18" x14ac:dyDescent="0.25">
      <c r="A1" s="18" t="s">
        <v>161</v>
      </c>
      <c r="B1" s="18"/>
      <c r="C1" s="18"/>
      <c r="D1" s="18"/>
      <c r="E1" s="18"/>
      <c r="F1" s="18"/>
      <c r="G1" s="18"/>
      <c r="H1" s="18"/>
      <c r="I1" s="18"/>
      <c r="J1" s="18"/>
      <c r="K1" s="18"/>
    </row>
    <row r="2" spans="1:11" ht="16.5" customHeight="1" x14ac:dyDescent="0.25">
      <c r="A2" s="19"/>
      <c r="B2" s="22"/>
      <c r="C2" s="22"/>
      <c r="D2" s="22"/>
      <c r="E2" s="22"/>
      <c r="F2" s="22"/>
      <c r="G2" s="22"/>
    </row>
    <row r="3" spans="1:11" x14ac:dyDescent="0.2">
      <c r="A3" s="10" t="s">
        <v>0</v>
      </c>
      <c r="B3" s="10" t="s">
        <v>0</v>
      </c>
      <c r="C3" s="10">
        <v>2015</v>
      </c>
      <c r="D3" s="10">
        <v>2016</v>
      </c>
      <c r="E3" s="10">
        <v>2017</v>
      </c>
      <c r="F3" s="10">
        <v>2018</v>
      </c>
      <c r="G3" s="10">
        <v>2019</v>
      </c>
      <c r="H3" s="10">
        <v>2020</v>
      </c>
      <c r="I3" s="10">
        <v>2021</v>
      </c>
      <c r="J3" s="10">
        <v>2022</v>
      </c>
      <c r="K3" s="10">
        <v>2023</v>
      </c>
    </row>
    <row r="4" spans="1:11" x14ac:dyDescent="0.2">
      <c r="A4" s="1" t="s">
        <v>1</v>
      </c>
      <c r="B4" s="1" t="s">
        <v>141</v>
      </c>
      <c r="C4" s="1">
        <v>-4</v>
      </c>
      <c r="D4" s="1">
        <v>-0.1</v>
      </c>
      <c r="E4" s="1">
        <v>3</v>
      </c>
      <c r="F4" s="1">
        <v>4</v>
      </c>
      <c r="G4" s="1">
        <v>1.5</v>
      </c>
      <c r="H4" s="1">
        <v>-3.2</v>
      </c>
      <c r="I4" s="1">
        <v>7.8</v>
      </c>
      <c r="J4" s="1">
        <v>10.9</v>
      </c>
      <c r="K4" s="1">
        <v>2.9</v>
      </c>
    </row>
    <row r="5" spans="1:11" x14ac:dyDescent="0.2">
      <c r="A5" t="s">
        <v>2</v>
      </c>
      <c r="B5" t="s">
        <v>3</v>
      </c>
      <c r="C5" s="13">
        <v>-1.7</v>
      </c>
      <c r="D5" s="13">
        <v>3.4</v>
      </c>
      <c r="E5" s="13">
        <v>2.6</v>
      </c>
      <c r="F5" s="13">
        <v>4.7</v>
      </c>
      <c r="G5" s="13">
        <v>4</v>
      </c>
      <c r="H5" s="13">
        <v>-0.1</v>
      </c>
      <c r="I5" s="13">
        <v>9</v>
      </c>
      <c r="J5" s="13">
        <v>7.5</v>
      </c>
      <c r="K5" s="13">
        <v>2.5</v>
      </c>
    </row>
    <row r="6" spans="1:11" x14ac:dyDescent="0.2">
      <c r="A6" t="s">
        <v>4</v>
      </c>
      <c r="B6" t="s">
        <v>5</v>
      </c>
      <c r="C6" s="13">
        <v>-2.1</v>
      </c>
      <c r="D6" s="13">
        <v>3.5</v>
      </c>
      <c r="E6" s="13">
        <v>2.8</v>
      </c>
      <c r="F6" s="13">
        <v>4.9000000000000004</v>
      </c>
      <c r="G6" s="13">
        <v>3.8</v>
      </c>
      <c r="H6" s="13">
        <v>-0.7</v>
      </c>
      <c r="I6" s="13">
        <v>11.5</v>
      </c>
      <c r="J6" s="13">
        <v>10</v>
      </c>
      <c r="K6" s="13">
        <v>2.1</v>
      </c>
    </row>
    <row r="7" spans="1:11" x14ac:dyDescent="0.2">
      <c r="A7" t="s">
        <v>6</v>
      </c>
      <c r="B7" t="s">
        <v>7</v>
      </c>
      <c r="C7" s="13">
        <v>-5.0999999999999996</v>
      </c>
      <c r="D7" s="13">
        <v>4.5999999999999996</v>
      </c>
      <c r="E7" s="13">
        <v>1.7</v>
      </c>
      <c r="F7" s="13">
        <v>4.2</v>
      </c>
      <c r="G7" s="13">
        <v>1.1000000000000001</v>
      </c>
      <c r="H7" s="13">
        <v>-2.4</v>
      </c>
      <c r="I7" s="13">
        <v>19.7</v>
      </c>
      <c r="J7" s="13">
        <v>8.1</v>
      </c>
      <c r="K7" s="13">
        <v>0.5</v>
      </c>
    </row>
    <row r="8" spans="1:11" x14ac:dyDescent="0.2">
      <c r="A8" t="s">
        <v>8</v>
      </c>
      <c r="B8" t="s">
        <v>9</v>
      </c>
      <c r="C8" s="13">
        <v>2.8</v>
      </c>
      <c r="D8" s="13">
        <v>2</v>
      </c>
      <c r="E8" s="13">
        <v>4.5</v>
      </c>
      <c r="F8" s="13">
        <v>5.9</v>
      </c>
      <c r="G8" s="13">
        <v>8.1</v>
      </c>
      <c r="H8" s="13">
        <v>1.7</v>
      </c>
      <c r="I8" s="13">
        <v>0.5</v>
      </c>
      <c r="J8" s="13">
        <v>13.1</v>
      </c>
      <c r="K8" s="13">
        <v>4.4000000000000004</v>
      </c>
    </row>
    <row r="9" spans="1:11" x14ac:dyDescent="0.2">
      <c r="A9" t="s">
        <v>10</v>
      </c>
      <c r="B9" t="s">
        <v>11</v>
      </c>
      <c r="C9" s="13">
        <v>-24.6</v>
      </c>
      <c r="D9" s="13">
        <v>-0.4</v>
      </c>
      <c r="E9" s="13">
        <v>5.6</v>
      </c>
      <c r="F9" s="13">
        <v>3.4</v>
      </c>
      <c r="G9" s="13">
        <v>2.2000000000000002</v>
      </c>
      <c r="H9" s="13">
        <v>3.6</v>
      </c>
      <c r="I9" s="13">
        <v>3.3</v>
      </c>
      <c r="J9" s="13">
        <v>11.8</v>
      </c>
      <c r="K9" s="13">
        <v>10.4</v>
      </c>
    </row>
    <row r="10" spans="1:11" x14ac:dyDescent="0.2">
      <c r="A10" t="s">
        <v>12</v>
      </c>
      <c r="B10" t="s">
        <v>13</v>
      </c>
      <c r="C10" s="13">
        <v>6.5</v>
      </c>
      <c r="D10" s="13">
        <v>1.8</v>
      </c>
      <c r="E10" s="13">
        <v>0.2</v>
      </c>
      <c r="F10" s="13">
        <v>3.3</v>
      </c>
      <c r="G10" s="13">
        <v>5.5</v>
      </c>
      <c r="H10" s="13">
        <v>3.1</v>
      </c>
      <c r="I10" s="13">
        <v>-0.2</v>
      </c>
      <c r="J10" s="13">
        <v>-0.2</v>
      </c>
      <c r="K10" s="13">
        <v>3.4</v>
      </c>
    </row>
    <row r="11" spans="1:11" x14ac:dyDescent="0.2">
      <c r="A11" t="s">
        <v>14</v>
      </c>
      <c r="B11" t="s">
        <v>15</v>
      </c>
      <c r="C11" s="13">
        <v>3</v>
      </c>
      <c r="D11" s="13">
        <v>0.5</v>
      </c>
      <c r="E11" s="13">
        <v>2.4</v>
      </c>
      <c r="F11" s="13">
        <v>3</v>
      </c>
      <c r="G11" s="13">
        <v>4.3</v>
      </c>
      <c r="H11" s="13">
        <v>1.7</v>
      </c>
      <c r="I11" s="13">
        <v>3.8</v>
      </c>
      <c r="J11" s="13">
        <v>11</v>
      </c>
      <c r="K11" s="13">
        <v>7.7</v>
      </c>
    </row>
    <row r="12" spans="1:11" x14ac:dyDescent="0.2">
      <c r="A12" t="s">
        <v>16</v>
      </c>
      <c r="B12" t="s">
        <v>17</v>
      </c>
      <c r="C12" s="13">
        <v>3.3</v>
      </c>
      <c r="D12" s="13">
        <v>-0.2</v>
      </c>
      <c r="E12" s="13">
        <v>2.2999999999999998</v>
      </c>
      <c r="F12" s="13">
        <v>3.1</v>
      </c>
      <c r="G12" s="13">
        <v>4.5</v>
      </c>
      <c r="H12" s="13">
        <v>1.3</v>
      </c>
      <c r="I12" s="13">
        <v>2.7</v>
      </c>
      <c r="J12" s="13">
        <v>12.7</v>
      </c>
      <c r="K12" s="13">
        <v>8.6999999999999993</v>
      </c>
    </row>
    <row r="13" spans="1:11" x14ac:dyDescent="0.2">
      <c r="A13" t="s">
        <v>18</v>
      </c>
      <c r="B13" t="s">
        <v>19</v>
      </c>
      <c r="C13" s="13">
        <v>3.6</v>
      </c>
      <c r="D13" s="13">
        <v>-0.1</v>
      </c>
      <c r="E13" s="13">
        <v>2.2000000000000002</v>
      </c>
      <c r="F13" s="13">
        <v>3.1</v>
      </c>
      <c r="G13" s="13">
        <v>4.5</v>
      </c>
      <c r="H13" s="13">
        <v>1.3</v>
      </c>
      <c r="I13" s="13">
        <v>2.6</v>
      </c>
      <c r="J13" s="13">
        <v>12.7</v>
      </c>
      <c r="K13" s="13">
        <v>8.6999999999999993</v>
      </c>
    </row>
    <row r="14" spans="1:11" x14ac:dyDescent="0.2">
      <c r="A14" t="s">
        <v>20</v>
      </c>
      <c r="B14" t="s">
        <v>21</v>
      </c>
      <c r="C14" s="13">
        <v>2.6</v>
      </c>
      <c r="D14" s="13">
        <v>2.8</v>
      </c>
      <c r="E14" s="13">
        <v>3.2</v>
      </c>
      <c r="F14" s="13">
        <v>3.7</v>
      </c>
      <c r="G14" s="13">
        <v>3.9</v>
      </c>
      <c r="H14" s="13">
        <v>2.9</v>
      </c>
      <c r="I14" s="13">
        <v>7.2</v>
      </c>
      <c r="J14" s="13">
        <v>7.4</v>
      </c>
      <c r="K14" s="13">
        <v>5.6</v>
      </c>
    </row>
    <row r="15" spans="1:11" x14ac:dyDescent="0.2">
      <c r="A15" t="s">
        <v>22</v>
      </c>
      <c r="B15" t="s">
        <v>144</v>
      </c>
      <c r="C15" s="13">
        <v>-1.4</v>
      </c>
      <c r="D15" s="13">
        <v>-1.2</v>
      </c>
      <c r="E15" s="13">
        <v>0.3</v>
      </c>
      <c r="F15" s="13">
        <v>-6.2</v>
      </c>
      <c r="G15" s="13">
        <v>2.9</v>
      </c>
      <c r="H15" s="13">
        <v>2.4</v>
      </c>
      <c r="I15" s="13">
        <v>0.5</v>
      </c>
      <c r="J15" s="13">
        <v>5</v>
      </c>
      <c r="K15" s="13">
        <v>3.6</v>
      </c>
    </row>
    <row r="16" spans="1:11" x14ac:dyDescent="0.2">
      <c r="A16" t="s">
        <v>24</v>
      </c>
      <c r="B16" t="s">
        <v>23</v>
      </c>
      <c r="C16" s="13">
        <v>0.6</v>
      </c>
      <c r="D16" s="13">
        <v>0.9</v>
      </c>
      <c r="E16" s="13">
        <v>2.2999999999999998</v>
      </c>
      <c r="F16" s="13">
        <v>3.1</v>
      </c>
      <c r="G16" s="13">
        <v>2</v>
      </c>
      <c r="H16" s="13">
        <v>1.9</v>
      </c>
      <c r="I16" s="13">
        <v>0.9</v>
      </c>
      <c r="J16" s="13">
        <v>5.9</v>
      </c>
      <c r="K16" s="13">
        <v>2.5</v>
      </c>
    </row>
    <row r="17" spans="1:11" x14ac:dyDescent="0.2">
      <c r="A17" t="s">
        <v>26</v>
      </c>
      <c r="B17" t="s">
        <v>25</v>
      </c>
      <c r="C17" s="13">
        <v>-1.3</v>
      </c>
      <c r="D17" s="13">
        <v>-0.1</v>
      </c>
      <c r="E17" s="13">
        <v>2.2000000000000002</v>
      </c>
      <c r="F17" s="13">
        <v>3.7</v>
      </c>
      <c r="G17" s="13">
        <v>1.2</v>
      </c>
      <c r="H17" s="13">
        <v>1.4</v>
      </c>
      <c r="I17" s="13">
        <v>0.3</v>
      </c>
      <c r="J17" s="13">
        <v>7.8</v>
      </c>
      <c r="K17" s="13">
        <v>1.9</v>
      </c>
    </row>
    <row r="18" spans="1:11" x14ac:dyDescent="0.2">
      <c r="A18" t="s">
        <v>27</v>
      </c>
      <c r="B18" s="6" t="s">
        <v>140</v>
      </c>
      <c r="C18" s="13">
        <v>-1.5</v>
      </c>
      <c r="D18" s="13">
        <v>1.1000000000000001</v>
      </c>
      <c r="E18" s="13">
        <v>1.1000000000000001</v>
      </c>
      <c r="F18" s="13">
        <v>2.1</v>
      </c>
      <c r="G18" s="13">
        <v>0.4</v>
      </c>
      <c r="H18" s="13">
        <v>0.2</v>
      </c>
      <c r="I18" s="13">
        <v>0.9</v>
      </c>
      <c r="J18" s="13">
        <v>11.9</v>
      </c>
      <c r="K18" s="13">
        <v>1.8</v>
      </c>
    </row>
    <row r="19" spans="1:11" x14ac:dyDescent="0.2">
      <c r="A19" t="s">
        <v>29</v>
      </c>
      <c r="B19" t="s">
        <v>28</v>
      </c>
      <c r="C19" s="13">
        <v>1.3</v>
      </c>
      <c r="D19" s="13">
        <v>2.4</v>
      </c>
      <c r="E19" s="13">
        <v>2.2000000000000002</v>
      </c>
      <c r="F19" s="13">
        <v>2.8</v>
      </c>
      <c r="G19" s="13">
        <v>1.1000000000000001</v>
      </c>
      <c r="H19" s="13">
        <v>-0.8</v>
      </c>
      <c r="I19" s="13">
        <v>0.1</v>
      </c>
      <c r="J19" s="13">
        <v>13.8</v>
      </c>
      <c r="K19" s="13">
        <v>1.6</v>
      </c>
    </row>
    <row r="20" spans="1:11" x14ac:dyDescent="0.2">
      <c r="A20" t="s">
        <v>31</v>
      </c>
      <c r="B20" t="s">
        <v>30</v>
      </c>
      <c r="C20" s="13">
        <v>-5.9</v>
      </c>
      <c r="D20" s="13">
        <v>-0.7</v>
      </c>
      <c r="E20" s="13">
        <v>1.7</v>
      </c>
      <c r="F20" s="13">
        <v>3.9</v>
      </c>
      <c r="G20" s="13">
        <v>1</v>
      </c>
      <c r="H20" s="13">
        <v>0</v>
      </c>
      <c r="I20" s="13">
        <v>-0.6</v>
      </c>
      <c r="J20" s="13">
        <v>2.5</v>
      </c>
      <c r="K20" s="13">
        <v>2</v>
      </c>
    </row>
    <row r="21" spans="1:11" x14ac:dyDescent="0.2">
      <c r="A21" t="s">
        <v>33</v>
      </c>
      <c r="B21" t="s">
        <v>32</v>
      </c>
      <c r="C21" s="13">
        <v>2.8</v>
      </c>
      <c r="D21" s="13">
        <v>-2.4</v>
      </c>
      <c r="E21" s="13">
        <v>3.5</v>
      </c>
      <c r="F21" s="13">
        <v>4.5</v>
      </c>
      <c r="G21" s="13">
        <v>1.8</v>
      </c>
      <c r="H21" s="13">
        <v>6.6</v>
      </c>
      <c r="I21" s="13">
        <v>1.8</v>
      </c>
      <c r="J21" s="13">
        <v>1.7</v>
      </c>
      <c r="K21" s="13">
        <v>2.4</v>
      </c>
    </row>
    <row r="22" spans="1:11" x14ac:dyDescent="0.2">
      <c r="A22" t="s">
        <v>35</v>
      </c>
      <c r="B22" t="s">
        <v>34</v>
      </c>
      <c r="C22" s="13">
        <v>3.1</v>
      </c>
      <c r="D22" s="13">
        <v>2.1</v>
      </c>
      <c r="E22" s="13">
        <v>2.2000000000000002</v>
      </c>
      <c r="F22" s="13">
        <v>2.4</v>
      </c>
      <c r="G22" s="13">
        <v>3.2</v>
      </c>
      <c r="H22" s="13">
        <v>2.8</v>
      </c>
      <c r="I22" s="13">
        <v>2.2999999999999998</v>
      </c>
      <c r="J22" s="13">
        <v>1.7</v>
      </c>
      <c r="K22" s="13">
        <v>3.8</v>
      </c>
    </row>
    <row r="23" spans="1:11" x14ac:dyDescent="0.2">
      <c r="A23" t="s">
        <v>37</v>
      </c>
      <c r="B23" t="s">
        <v>36</v>
      </c>
      <c r="C23" s="13">
        <v>4.9000000000000004</v>
      </c>
      <c r="D23" s="13">
        <v>3.9</v>
      </c>
      <c r="E23" s="13">
        <v>3.8</v>
      </c>
      <c r="F23" s="13">
        <v>1.8</v>
      </c>
      <c r="G23" s="13">
        <v>2</v>
      </c>
      <c r="H23" s="13">
        <v>4.5999999999999996</v>
      </c>
      <c r="I23" s="13">
        <v>-0.4</v>
      </c>
      <c r="J23" s="13">
        <v>-2.5</v>
      </c>
      <c r="K23" s="13">
        <v>5.7</v>
      </c>
    </row>
    <row r="24" spans="1:11" x14ac:dyDescent="0.2">
      <c r="A24" t="s">
        <v>39</v>
      </c>
      <c r="B24" t="s">
        <v>38</v>
      </c>
      <c r="C24" s="13">
        <v>2.8</v>
      </c>
      <c r="D24" s="13">
        <v>2.1</v>
      </c>
      <c r="E24" s="13">
        <v>2.2999999999999998</v>
      </c>
      <c r="F24" s="13">
        <v>2.5</v>
      </c>
      <c r="G24" s="13">
        <v>2.6</v>
      </c>
      <c r="H24" s="13">
        <v>0.3</v>
      </c>
      <c r="I24" s="13">
        <v>1.2</v>
      </c>
      <c r="J24" s="13">
        <v>4.7</v>
      </c>
      <c r="K24" s="13">
        <v>3.6</v>
      </c>
    </row>
    <row r="25" spans="1:11" x14ac:dyDescent="0.2">
      <c r="A25" t="s">
        <v>41</v>
      </c>
      <c r="B25" t="s">
        <v>40</v>
      </c>
      <c r="C25" s="13">
        <v>12.6</v>
      </c>
      <c r="D25" s="13">
        <v>5.9</v>
      </c>
      <c r="E25" s="13">
        <v>1.7</v>
      </c>
      <c r="F25" s="13">
        <v>2.6</v>
      </c>
      <c r="G25" s="13">
        <v>2.4</v>
      </c>
      <c r="H25" s="13">
        <v>-5.9</v>
      </c>
      <c r="I25" s="13">
        <v>6</v>
      </c>
      <c r="J25" s="13">
        <v>10</v>
      </c>
      <c r="K25" s="13">
        <v>5.9</v>
      </c>
    </row>
    <row r="26" spans="1:11" x14ac:dyDescent="0.2">
      <c r="A26" t="s">
        <v>43</v>
      </c>
      <c r="B26" t="s">
        <v>42</v>
      </c>
      <c r="C26" s="13">
        <v>9.6999999999999993</v>
      </c>
      <c r="D26" s="13">
        <v>-2</v>
      </c>
      <c r="E26" s="13">
        <v>7.6</v>
      </c>
      <c r="F26" s="13">
        <v>8.1</v>
      </c>
      <c r="G26" s="13">
        <v>7.4</v>
      </c>
      <c r="H26" s="13">
        <v>-3</v>
      </c>
      <c r="I26" s="13">
        <v>6.1</v>
      </c>
      <c r="J26" s="13">
        <v>18.100000000000001</v>
      </c>
      <c r="K26" s="13">
        <v>1.7</v>
      </c>
    </row>
    <row r="27" spans="1:11" x14ac:dyDescent="0.2">
      <c r="A27" t="s">
        <v>45</v>
      </c>
      <c r="B27" t="s">
        <v>44</v>
      </c>
      <c r="C27" s="13">
        <v>23.2</v>
      </c>
      <c r="D27" s="13">
        <v>31.8</v>
      </c>
      <c r="E27" s="13">
        <v>-12.5</v>
      </c>
      <c r="F27" s="13">
        <v>-11</v>
      </c>
      <c r="G27" s="13">
        <v>-7.8</v>
      </c>
      <c r="H27" s="13">
        <v>-16.3</v>
      </c>
      <c r="I27" s="13">
        <v>4.7</v>
      </c>
      <c r="J27" s="13">
        <v>-20.6</v>
      </c>
      <c r="K27" s="13">
        <v>14.7</v>
      </c>
    </row>
    <row r="28" spans="1:11" x14ac:dyDescent="0.2">
      <c r="A28" t="s">
        <v>47</v>
      </c>
      <c r="B28" t="s">
        <v>46</v>
      </c>
      <c r="C28" s="13">
        <v>2.1</v>
      </c>
      <c r="D28" s="13">
        <v>0.7</v>
      </c>
      <c r="E28" s="13">
        <v>3.1</v>
      </c>
      <c r="F28" s="13">
        <v>4.5</v>
      </c>
      <c r="G28" s="13">
        <v>-1.4</v>
      </c>
      <c r="H28" s="13">
        <v>-0.9</v>
      </c>
      <c r="I28" s="13">
        <v>6.8</v>
      </c>
      <c r="J28" s="13">
        <v>19.100000000000001</v>
      </c>
      <c r="K28" s="13">
        <v>15</v>
      </c>
    </row>
    <row r="29" spans="1:11" x14ac:dyDescent="0.2">
      <c r="A29" t="s">
        <v>49</v>
      </c>
      <c r="B29" t="s">
        <v>48</v>
      </c>
      <c r="C29" s="13">
        <v>2</v>
      </c>
      <c r="D29" s="13">
        <v>0.4</v>
      </c>
      <c r="E29" s="13">
        <v>-1</v>
      </c>
      <c r="F29" s="13">
        <v>-0.7</v>
      </c>
      <c r="G29" s="13">
        <v>4</v>
      </c>
      <c r="H29" s="13">
        <v>8</v>
      </c>
      <c r="I29" s="13">
        <v>4.5999999999999996</v>
      </c>
      <c r="J29" s="13">
        <v>9.6</v>
      </c>
      <c r="K29" s="13">
        <v>15.3</v>
      </c>
    </row>
    <row r="30" spans="1:11" x14ac:dyDescent="0.2">
      <c r="A30" t="s">
        <v>51</v>
      </c>
      <c r="B30" t="s">
        <v>50</v>
      </c>
      <c r="C30" s="13">
        <v>-29.9</v>
      </c>
      <c r="D30" s="13">
        <v>-8.9</v>
      </c>
      <c r="E30" s="13">
        <v>14.1</v>
      </c>
      <c r="F30" s="13">
        <v>10.3</v>
      </c>
      <c r="G30" s="13">
        <v>-6.3</v>
      </c>
      <c r="H30" s="13">
        <v>-26.5</v>
      </c>
      <c r="I30" s="13">
        <v>31.8</v>
      </c>
      <c r="J30" s="13">
        <v>39.299999999999997</v>
      </c>
      <c r="K30" s="13">
        <v>-13.5</v>
      </c>
    </row>
    <row r="31" spans="1:11" x14ac:dyDescent="0.2">
      <c r="A31" t="s">
        <v>53</v>
      </c>
      <c r="B31" t="s">
        <v>52</v>
      </c>
      <c r="C31" s="13">
        <v>-30.5</v>
      </c>
      <c r="D31" s="13">
        <v>-9.1999999999999993</v>
      </c>
      <c r="E31" s="13">
        <v>14.3</v>
      </c>
      <c r="F31" s="13">
        <v>10.6</v>
      </c>
      <c r="G31" s="13">
        <v>-6.7</v>
      </c>
      <c r="H31" s="13">
        <v>-27.7</v>
      </c>
      <c r="I31" s="13">
        <v>33.1</v>
      </c>
      <c r="J31" s="13">
        <v>40.700000000000003</v>
      </c>
      <c r="K31" s="13">
        <v>-14.3</v>
      </c>
    </row>
    <row r="32" spans="1:11" x14ac:dyDescent="0.2">
      <c r="A32" t="s">
        <v>55</v>
      </c>
      <c r="B32" t="s">
        <v>54</v>
      </c>
      <c r="C32" s="13">
        <v>-10.199999999999999</v>
      </c>
      <c r="D32" s="13">
        <v>-3.3</v>
      </c>
      <c r="E32" s="13">
        <v>10.8</v>
      </c>
      <c r="F32" s="13">
        <v>5.2</v>
      </c>
      <c r="G32" s="13">
        <v>0.1</v>
      </c>
      <c r="H32" s="13">
        <v>-1.6</v>
      </c>
      <c r="I32" s="13">
        <v>12.6</v>
      </c>
      <c r="J32" s="13">
        <v>13.6</v>
      </c>
      <c r="K32" s="13">
        <v>6.4</v>
      </c>
    </row>
    <row r="33" spans="1:11" x14ac:dyDescent="0.2">
      <c r="A33" t="s">
        <v>57</v>
      </c>
      <c r="B33" t="s">
        <v>56</v>
      </c>
      <c r="C33" s="13">
        <v>4.8</v>
      </c>
      <c r="D33" s="13">
        <v>2.7</v>
      </c>
      <c r="E33" s="13">
        <v>2.4</v>
      </c>
      <c r="F33" s="13">
        <v>3</v>
      </c>
      <c r="G33" s="13">
        <v>3.3</v>
      </c>
      <c r="H33" s="13">
        <v>0.2</v>
      </c>
      <c r="I33" s="13">
        <v>-1</v>
      </c>
      <c r="J33" s="13">
        <v>4.5</v>
      </c>
      <c r="K33" s="13">
        <v>5.8</v>
      </c>
    </row>
    <row r="34" spans="1:11" x14ac:dyDescent="0.2">
      <c r="A34" t="s">
        <v>59</v>
      </c>
      <c r="B34" t="s">
        <v>58</v>
      </c>
      <c r="C34" s="13">
        <v>-10.4</v>
      </c>
      <c r="D34" s="13">
        <v>-12.5</v>
      </c>
      <c r="E34" s="13">
        <v>1.7</v>
      </c>
      <c r="F34" s="13">
        <v>13.5</v>
      </c>
      <c r="G34" s="13">
        <v>7.1</v>
      </c>
      <c r="H34" s="13">
        <v>-9.4</v>
      </c>
      <c r="I34" s="13">
        <v>43.1</v>
      </c>
      <c r="J34" s="13">
        <v>1.1000000000000001</v>
      </c>
      <c r="K34" s="13">
        <v>-22.1</v>
      </c>
    </row>
    <row r="35" spans="1:11" x14ac:dyDescent="0.2">
      <c r="A35" t="s">
        <v>61</v>
      </c>
      <c r="B35" t="s">
        <v>60</v>
      </c>
      <c r="C35" s="13">
        <v>-10.4</v>
      </c>
      <c r="D35" s="13">
        <v>-12.5</v>
      </c>
      <c r="E35" s="13">
        <v>1.7</v>
      </c>
      <c r="F35" s="13">
        <v>13.5</v>
      </c>
      <c r="G35" s="13">
        <v>7.1</v>
      </c>
      <c r="H35" s="13">
        <v>-9.4</v>
      </c>
      <c r="I35" s="13">
        <v>43.1</v>
      </c>
      <c r="J35" s="13">
        <v>1.1000000000000001</v>
      </c>
      <c r="K35" s="13">
        <v>-22.1</v>
      </c>
    </row>
    <row r="36" spans="1:11" ht="14.25" x14ac:dyDescent="0.2">
      <c r="A36" t="s">
        <v>63</v>
      </c>
      <c r="B36" s="6" t="s">
        <v>157</v>
      </c>
      <c r="C36" s="16" t="s">
        <v>163</v>
      </c>
      <c r="D36" s="16" t="s">
        <v>163</v>
      </c>
      <c r="E36" s="13">
        <v>1.7</v>
      </c>
      <c r="F36" s="13">
        <v>13.5</v>
      </c>
      <c r="G36" s="13">
        <v>7.1</v>
      </c>
      <c r="H36" s="13">
        <v>-9.4</v>
      </c>
      <c r="I36" s="13">
        <v>43.1</v>
      </c>
      <c r="J36" s="13">
        <v>1.1000000000000001</v>
      </c>
      <c r="K36" s="13">
        <v>-22.1</v>
      </c>
    </row>
    <row r="37" spans="1:11" x14ac:dyDescent="0.2">
      <c r="A37" t="s">
        <v>64</v>
      </c>
      <c r="B37" t="s">
        <v>62</v>
      </c>
      <c r="C37" s="13">
        <v>1.3</v>
      </c>
      <c r="D37" s="13">
        <v>-0.4</v>
      </c>
      <c r="E37" s="13">
        <v>-2</v>
      </c>
      <c r="F37" s="13">
        <v>-1.8</v>
      </c>
      <c r="G37" s="13">
        <v>0.3</v>
      </c>
      <c r="H37" s="13">
        <v>1</v>
      </c>
      <c r="I37" s="13">
        <v>-2.7</v>
      </c>
      <c r="J37" s="13">
        <v>-0.8</v>
      </c>
      <c r="K37" s="13">
        <v>1.1000000000000001</v>
      </c>
    </row>
    <row r="38" spans="1:11" ht="14.25" x14ac:dyDescent="0.2">
      <c r="A38" t="s">
        <v>66</v>
      </c>
      <c r="B38" s="6" t="s">
        <v>156</v>
      </c>
      <c r="C38" s="13">
        <v>0.8</v>
      </c>
      <c r="D38" s="13">
        <v>-0.8</v>
      </c>
      <c r="E38" s="13">
        <v>-1.8</v>
      </c>
      <c r="F38" s="13">
        <v>-1.8</v>
      </c>
      <c r="G38" s="13">
        <v>-0.4</v>
      </c>
      <c r="H38" s="13">
        <v>0.6</v>
      </c>
      <c r="I38" s="13">
        <v>-3</v>
      </c>
      <c r="J38" s="13">
        <v>-2.4</v>
      </c>
      <c r="K38" s="13">
        <v>0.5</v>
      </c>
    </row>
    <row r="39" spans="1:11" x14ac:dyDescent="0.2">
      <c r="A39" t="s">
        <v>68</v>
      </c>
      <c r="B39" t="s">
        <v>65</v>
      </c>
      <c r="C39" s="13">
        <v>0.2</v>
      </c>
      <c r="D39" s="13">
        <v>-2.6</v>
      </c>
      <c r="E39" s="13">
        <v>-1.7</v>
      </c>
      <c r="F39" s="13">
        <v>-2.6</v>
      </c>
      <c r="G39" s="13">
        <v>10.7</v>
      </c>
      <c r="H39" s="13">
        <v>2.7</v>
      </c>
      <c r="I39" s="13">
        <v>3.9</v>
      </c>
      <c r="J39" s="13">
        <v>25.2</v>
      </c>
      <c r="K39" s="13">
        <v>16.600000000000001</v>
      </c>
    </row>
    <row r="40" spans="1:11" x14ac:dyDescent="0.2">
      <c r="A40" t="s">
        <v>70</v>
      </c>
      <c r="B40" t="s">
        <v>67</v>
      </c>
      <c r="C40" s="13">
        <v>0.5</v>
      </c>
      <c r="D40" s="13">
        <v>-0.8</v>
      </c>
      <c r="E40" s="13">
        <v>-1.7</v>
      </c>
      <c r="F40" s="13">
        <v>-1.7</v>
      </c>
      <c r="G40" s="13">
        <v>-0.6</v>
      </c>
      <c r="H40" s="13">
        <v>0.5</v>
      </c>
      <c r="I40" s="13">
        <v>-3.2</v>
      </c>
      <c r="J40" s="13">
        <v>-2.9</v>
      </c>
      <c r="K40" s="13">
        <v>0.2</v>
      </c>
    </row>
    <row r="41" spans="1:11" x14ac:dyDescent="0.2">
      <c r="A41" t="s">
        <v>71</v>
      </c>
      <c r="B41" t="s">
        <v>69</v>
      </c>
      <c r="C41" s="13">
        <v>5.7</v>
      </c>
      <c r="D41" s="13">
        <v>0.4</v>
      </c>
      <c r="E41" s="13">
        <v>-3.5</v>
      </c>
      <c r="F41" s="13">
        <v>-6.2</v>
      </c>
      <c r="G41" s="13">
        <v>1</v>
      </c>
      <c r="H41" s="13">
        <v>4.5999999999999996</v>
      </c>
      <c r="I41" s="13">
        <v>2</v>
      </c>
      <c r="J41" s="13">
        <v>9.3000000000000007</v>
      </c>
      <c r="K41" s="13">
        <v>6</v>
      </c>
    </row>
    <row r="42" spans="1:11" ht="14.25" x14ac:dyDescent="0.2">
      <c r="A42" t="s">
        <v>73</v>
      </c>
      <c r="B42" s="6" t="s">
        <v>155</v>
      </c>
      <c r="C42" s="13">
        <v>3.5</v>
      </c>
      <c r="D42" s="13">
        <v>1.8</v>
      </c>
      <c r="E42" s="13">
        <v>-2.9</v>
      </c>
      <c r="F42" s="13">
        <v>-1.9</v>
      </c>
      <c r="G42" s="13">
        <v>5.5</v>
      </c>
      <c r="H42" s="13">
        <v>4.4000000000000004</v>
      </c>
      <c r="I42" s="13">
        <v>1.1000000000000001</v>
      </c>
      <c r="J42" s="13">
        <v>13.7</v>
      </c>
      <c r="K42" s="13">
        <v>5.9</v>
      </c>
    </row>
    <row r="43" spans="1:11" x14ac:dyDescent="0.2">
      <c r="A43" t="s">
        <v>75</v>
      </c>
      <c r="B43" t="s">
        <v>72</v>
      </c>
      <c r="C43" s="13">
        <v>5.7</v>
      </c>
      <c r="D43" s="13">
        <v>0.4</v>
      </c>
      <c r="E43" s="13">
        <v>-3.4</v>
      </c>
      <c r="F43" s="13">
        <v>-5.9</v>
      </c>
      <c r="G43" s="13">
        <v>1.7</v>
      </c>
      <c r="H43" s="13">
        <v>4.8</v>
      </c>
      <c r="I43" s="13">
        <v>2.2000000000000002</v>
      </c>
      <c r="J43" s="13">
        <v>9.6</v>
      </c>
      <c r="K43" s="13">
        <v>6.2</v>
      </c>
    </row>
    <row r="44" spans="1:11" x14ac:dyDescent="0.2">
      <c r="A44" t="s">
        <v>77</v>
      </c>
      <c r="B44" t="s">
        <v>74</v>
      </c>
      <c r="C44" s="13">
        <v>5.7</v>
      </c>
      <c r="D44" s="13">
        <v>0.4</v>
      </c>
      <c r="E44" s="13">
        <v>-3.4</v>
      </c>
      <c r="F44" s="13">
        <v>-5.9</v>
      </c>
      <c r="G44" s="13">
        <v>1.7</v>
      </c>
      <c r="H44" s="13">
        <v>4.8</v>
      </c>
      <c r="I44" s="13">
        <v>2.2000000000000002</v>
      </c>
      <c r="J44" s="13">
        <v>9.6</v>
      </c>
      <c r="K44" s="13">
        <v>6.2</v>
      </c>
    </row>
    <row r="45" spans="1:11" x14ac:dyDescent="0.2">
      <c r="A45" t="s">
        <v>79</v>
      </c>
      <c r="B45" t="s">
        <v>76</v>
      </c>
      <c r="C45" s="13">
        <v>0.9</v>
      </c>
      <c r="D45" s="13">
        <v>1.5</v>
      </c>
      <c r="E45" s="13">
        <v>-3.7</v>
      </c>
      <c r="F45" s="13">
        <v>3.9</v>
      </c>
      <c r="G45" s="13">
        <v>11.4</v>
      </c>
      <c r="H45" s="13">
        <v>2.8</v>
      </c>
      <c r="I45" s="13">
        <v>1.1000000000000001</v>
      </c>
      <c r="J45" s="13">
        <v>24.5</v>
      </c>
      <c r="K45" s="13">
        <v>-1</v>
      </c>
    </row>
    <row r="46" spans="1:11" x14ac:dyDescent="0.2">
      <c r="A46" t="s">
        <v>81</v>
      </c>
      <c r="B46" t="s">
        <v>78</v>
      </c>
      <c r="C46" s="13">
        <v>1</v>
      </c>
      <c r="D46" s="13">
        <v>5.2</v>
      </c>
      <c r="E46" s="13">
        <v>-0.7</v>
      </c>
      <c r="F46" s="13">
        <v>3.5</v>
      </c>
      <c r="G46" s="13">
        <v>7.1</v>
      </c>
      <c r="H46" s="13">
        <v>3.7</v>
      </c>
      <c r="I46" s="13">
        <v>0</v>
      </c>
      <c r="J46" s="13">
        <v>14.9</v>
      </c>
      <c r="K46" s="13">
        <v>9</v>
      </c>
    </row>
    <row r="47" spans="1:11" x14ac:dyDescent="0.2">
      <c r="A47" t="s">
        <v>83</v>
      </c>
      <c r="B47" t="s">
        <v>80</v>
      </c>
      <c r="C47" s="13">
        <v>4.0999999999999996</v>
      </c>
      <c r="D47" s="13">
        <v>1</v>
      </c>
      <c r="E47" s="13">
        <v>-3.7</v>
      </c>
      <c r="F47" s="13">
        <v>-3.3</v>
      </c>
      <c r="G47" s="13">
        <v>5.7</v>
      </c>
      <c r="H47" s="13">
        <v>4.9000000000000004</v>
      </c>
      <c r="I47" s="13">
        <v>1.2</v>
      </c>
      <c r="J47" s="13">
        <v>13.5</v>
      </c>
      <c r="K47" s="13">
        <v>3.8</v>
      </c>
    </row>
    <row r="48" spans="1:11" x14ac:dyDescent="0.2">
      <c r="A48" t="s">
        <v>85</v>
      </c>
      <c r="B48" t="s">
        <v>82</v>
      </c>
      <c r="C48" s="13">
        <v>3.1</v>
      </c>
      <c r="D48" s="13">
        <v>1.7</v>
      </c>
      <c r="E48" s="13">
        <v>1.7</v>
      </c>
      <c r="F48" s="13">
        <v>2.8</v>
      </c>
      <c r="G48" s="13">
        <v>2.9</v>
      </c>
      <c r="H48" s="13">
        <v>-1.5</v>
      </c>
      <c r="I48" s="13">
        <v>5.0999999999999996</v>
      </c>
      <c r="J48" s="13">
        <v>10</v>
      </c>
      <c r="K48" s="13">
        <v>7</v>
      </c>
    </row>
    <row r="49" spans="1:11" x14ac:dyDescent="0.2">
      <c r="A49" t="s">
        <v>87</v>
      </c>
      <c r="B49" t="s">
        <v>84</v>
      </c>
      <c r="C49" s="13">
        <v>5.2</v>
      </c>
      <c r="D49" s="13">
        <v>3.6</v>
      </c>
      <c r="E49" s="13">
        <v>1.2</v>
      </c>
      <c r="F49" s="13">
        <v>3.3</v>
      </c>
      <c r="G49" s="13">
        <v>4.5</v>
      </c>
      <c r="H49" s="13">
        <v>4.5</v>
      </c>
      <c r="I49" s="13">
        <v>0.6</v>
      </c>
      <c r="J49" s="13">
        <v>5.5</v>
      </c>
      <c r="K49" s="13">
        <v>15.2</v>
      </c>
    </row>
    <row r="50" spans="1:11" x14ac:dyDescent="0.2">
      <c r="A50" t="s">
        <v>89</v>
      </c>
      <c r="B50" t="s">
        <v>86</v>
      </c>
      <c r="C50" s="13">
        <v>5.0999999999999996</v>
      </c>
      <c r="D50" s="13">
        <v>3.8</v>
      </c>
      <c r="E50" s="13">
        <v>1.1000000000000001</v>
      </c>
      <c r="F50" s="13">
        <v>2.9</v>
      </c>
      <c r="G50" s="13">
        <v>4.5</v>
      </c>
      <c r="H50" s="13">
        <v>4.3</v>
      </c>
      <c r="I50" s="13">
        <v>0.5</v>
      </c>
      <c r="J50" s="13">
        <v>6.2</v>
      </c>
      <c r="K50" s="13">
        <v>16</v>
      </c>
    </row>
    <row r="51" spans="1:11" x14ac:dyDescent="0.2">
      <c r="A51" t="s">
        <v>91</v>
      </c>
      <c r="B51" t="s">
        <v>88</v>
      </c>
      <c r="C51" s="13">
        <v>5.2</v>
      </c>
      <c r="D51" s="13">
        <v>3.5</v>
      </c>
      <c r="E51" s="13">
        <v>1.4</v>
      </c>
      <c r="F51" s="13">
        <v>3.9</v>
      </c>
      <c r="G51" s="13">
        <v>4.4000000000000004</v>
      </c>
      <c r="H51" s="13">
        <v>5.0999999999999996</v>
      </c>
      <c r="I51" s="13">
        <v>0.9</v>
      </c>
      <c r="J51" s="13">
        <v>3.6</v>
      </c>
      <c r="K51" s="13">
        <v>13.2</v>
      </c>
    </row>
    <row r="52" spans="1:11" x14ac:dyDescent="0.2">
      <c r="A52" t="s">
        <v>93</v>
      </c>
      <c r="B52" t="s">
        <v>90</v>
      </c>
      <c r="C52" s="13">
        <v>0.9</v>
      </c>
      <c r="D52" s="13">
        <v>-0.6</v>
      </c>
      <c r="E52" s="13">
        <v>-1.4</v>
      </c>
      <c r="F52" s="13">
        <v>-0.7</v>
      </c>
      <c r="G52" s="13">
        <v>6.7</v>
      </c>
      <c r="H52" s="13">
        <v>-1.1000000000000001</v>
      </c>
      <c r="I52" s="13">
        <v>4</v>
      </c>
      <c r="J52" s="13">
        <v>9</v>
      </c>
      <c r="K52" s="13">
        <v>4.9000000000000004</v>
      </c>
    </row>
    <row r="53" spans="1:11" x14ac:dyDescent="0.2">
      <c r="A53" t="s">
        <v>95</v>
      </c>
      <c r="B53" t="s">
        <v>92</v>
      </c>
      <c r="C53" s="13">
        <v>2.8</v>
      </c>
      <c r="D53" s="13">
        <v>-0.6</v>
      </c>
      <c r="E53" s="13">
        <v>1.5</v>
      </c>
      <c r="F53" s="13">
        <v>4.0999999999999996</v>
      </c>
      <c r="G53" s="13">
        <v>1.1000000000000001</v>
      </c>
      <c r="H53" s="13">
        <v>-1.1000000000000001</v>
      </c>
      <c r="I53" s="13">
        <v>8.6999999999999993</v>
      </c>
      <c r="J53" s="13">
        <v>15.9</v>
      </c>
      <c r="K53" s="13">
        <v>3.7</v>
      </c>
    </row>
    <row r="54" spans="1:11" x14ac:dyDescent="0.2">
      <c r="A54" t="s">
        <v>97</v>
      </c>
      <c r="B54" t="s">
        <v>94</v>
      </c>
      <c r="C54" s="13">
        <v>3.6</v>
      </c>
      <c r="D54" s="13">
        <v>2.4</v>
      </c>
      <c r="E54" s="13">
        <v>-1.2</v>
      </c>
      <c r="F54" s="13">
        <v>3.8</v>
      </c>
      <c r="G54" s="13">
        <v>4.8</v>
      </c>
      <c r="H54" s="13">
        <v>3.8</v>
      </c>
      <c r="I54" s="13">
        <v>2.6</v>
      </c>
      <c r="J54" s="13">
        <v>6.4</v>
      </c>
      <c r="K54" s="13">
        <v>10.6</v>
      </c>
    </row>
    <row r="55" spans="1:11" x14ac:dyDescent="0.2">
      <c r="A55" t="s">
        <v>99</v>
      </c>
      <c r="B55" t="s">
        <v>96</v>
      </c>
      <c r="C55" s="13">
        <v>2.9</v>
      </c>
      <c r="D55" s="13">
        <v>1.8</v>
      </c>
      <c r="E55" s="13">
        <v>0.7</v>
      </c>
      <c r="F55" s="13">
        <v>4.4000000000000004</v>
      </c>
      <c r="G55" s="13">
        <v>4.5999999999999996</v>
      </c>
      <c r="H55" s="13">
        <v>1.3</v>
      </c>
      <c r="I55" s="13">
        <v>3.2</v>
      </c>
      <c r="J55" s="13">
        <v>10.7</v>
      </c>
      <c r="K55" s="13">
        <v>10</v>
      </c>
    </row>
    <row r="56" spans="1:11" x14ac:dyDescent="0.2">
      <c r="A56" t="s">
        <v>101</v>
      </c>
      <c r="B56" t="s">
        <v>98</v>
      </c>
      <c r="C56" s="13">
        <v>2.2999999999999998</v>
      </c>
      <c r="D56" s="13">
        <v>2.2000000000000002</v>
      </c>
      <c r="E56" s="13">
        <v>-0.5</v>
      </c>
      <c r="F56" s="13">
        <v>2.4</v>
      </c>
      <c r="G56" s="13">
        <v>4.5999999999999996</v>
      </c>
      <c r="H56" s="13">
        <v>2.7</v>
      </c>
      <c r="I56" s="13">
        <v>4.7</v>
      </c>
      <c r="J56" s="13">
        <v>8.3000000000000007</v>
      </c>
      <c r="K56" s="13">
        <v>8</v>
      </c>
    </row>
    <row r="57" spans="1:11" x14ac:dyDescent="0.2">
      <c r="A57" t="s">
        <v>102</v>
      </c>
      <c r="B57" t="s">
        <v>100</v>
      </c>
      <c r="C57" s="13">
        <v>1.9</v>
      </c>
      <c r="D57" s="13">
        <v>3</v>
      </c>
      <c r="E57" s="13">
        <v>1.7</v>
      </c>
      <c r="F57" s="13">
        <v>3.8</v>
      </c>
      <c r="G57" s="13">
        <v>5.6</v>
      </c>
      <c r="H57" s="13">
        <v>0.5</v>
      </c>
      <c r="I57" s="13">
        <v>7.9</v>
      </c>
      <c r="J57" s="13">
        <v>8.6999999999999993</v>
      </c>
      <c r="K57" s="13">
        <v>9.1999999999999993</v>
      </c>
    </row>
    <row r="58" spans="1:11" ht="14.25" x14ac:dyDescent="0.2">
      <c r="A58" t="s">
        <v>103</v>
      </c>
      <c r="B58" s="6" t="s">
        <v>154</v>
      </c>
      <c r="C58" s="13">
        <v>2.5</v>
      </c>
      <c r="D58" s="13">
        <v>-4.9000000000000004</v>
      </c>
      <c r="E58" s="13">
        <v>3.4</v>
      </c>
      <c r="F58" s="13">
        <v>3.7</v>
      </c>
      <c r="G58" s="13">
        <v>-4.5</v>
      </c>
      <c r="H58" s="13">
        <v>-5.8</v>
      </c>
      <c r="I58" s="13">
        <v>19.2</v>
      </c>
      <c r="J58" s="13">
        <v>25.3</v>
      </c>
      <c r="K58" s="13">
        <v>-5.2</v>
      </c>
    </row>
    <row r="59" spans="1:11" ht="14.25" x14ac:dyDescent="0.2">
      <c r="A59" t="s">
        <v>105</v>
      </c>
      <c r="B59" s="6" t="s">
        <v>153</v>
      </c>
      <c r="C59" s="13">
        <v>1.7</v>
      </c>
      <c r="D59" s="13">
        <v>0.7</v>
      </c>
      <c r="E59" s="13">
        <v>-0.9</v>
      </c>
      <c r="F59" s="13">
        <v>1.5</v>
      </c>
      <c r="G59" s="13">
        <v>3</v>
      </c>
      <c r="H59" s="13">
        <v>5.6</v>
      </c>
      <c r="I59" s="13">
        <v>14.2</v>
      </c>
      <c r="J59" s="13">
        <v>6.7</v>
      </c>
      <c r="K59" s="13">
        <v>3</v>
      </c>
    </row>
    <row r="60" spans="1:11" x14ac:dyDescent="0.2">
      <c r="A60" t="s">
        <v>107</v>
      </c>
      <c r="B60" t="s">
        <v>104</v>
      </c>
      <c r="C60" s="13">
        <v>2</v>
      </c>
      <c r="D60" s="13">
        <v>0.9</v>
      </c>
      <c r="E60" s="13">
        <v>0.2</v>
      </c>
      <c r="F60" s="13">
        <v>0.3</v>
      </c>
      <c r="G60" s="13">
        <v>2.6</v>
      </c>
      <c r="H60" s="13">
        <v>-3</v>
      </c>
      <c r="I60" s="13">
        <v>5.2</v>
      </c>
      <c r="J60" s="13">
        <v>7.1</v>
      </c>
      <c r="K60" s="13">
        <v>8.1</v>
      </c>
    </row>
    <row r="61" spans="1:11" x14ac:dyDescent="0.2">
      <c r="A61" t="s">
        <v>109</v>
      </c>
      <c r="B61" t="s">
        <v>106</v>
      </c>
      <c r="C61" s="13">
        <v>3</v>
      </c>
      <c r="D61" s="13">
        <v>2.5</v>
      </c>
      <c r="E61" s="13">
        <v>2.8</v>
      </c>
      <c r="F61" s="13">
        <v>-0.5</v>
      </c>
      <c r="G61" s="13">
        <v>1.8</v>
      </c>
      <c r="H61" s="13">
        <v>4.0999999999999996</v>
      </c>
      <c r="I61" s="13">
        <v>1.6</v>
      </c>
      <c r="J61" s="13">
        <v>5.3</v>
      </c>
      <c r="K61" s="13">
        <v>8.6</v>
      </c>
    </row>
    <row r="62" spans="1:11" x14ac:dyDescent="0.2">
      <c r="A62" t="s">
        <v>111</v>
      </c>
      <c r="B62" t="s">
        <v>108</v>
      </c>
      <c r="C62" s="13">
        <v>0.5</v>
      </c>
      <c r="D62" s="13">
        <v>1.7</v>
      </c>
      <c r="E62" s="13">
        <v>-0.5</v>
      </c>
      <c r="F62" s="13">
        <v>-1.8</v>
      </c>
      <c r="G62" s="13">
        <v>3.1</v>
      </c>
      <c r="H62" s="13">
        <v>2.9</v>
      </c>
      <c r="I62" s="13">
        <v>9.6</v>
      </c>
      <c r="J62" s="13">
        <v>11.7</v>
      </c>
      <c r="K62" s="13">
        <v>3.7</v>
      </c>
    </row>
    <row r="63" spans="1:11" x14ac:dyDescent="0.2">
      <c r="A63" t="s">
        <v>113</v>
      </c>
      <c r="B63" t="s">
        <v>110</v>
      </c>
      <c r="C63" s="13">
        <v>6.6</v>
      </c>
      <c r="D63" s="13">
        <v>6.4</v>
      </c>
      <c r="E63" s="13">
        <v>3.9</v>
      </c>
      <c r="F63" s="13">
        <v>3.3</v>
      </c>
      <c r="G63" s="13">
        <v>5.8</v>
      </c>
      <c r="H63" s="13">
        <v>7.3</v>
      </c>
      <c r="I63" s="13">
        <v>3.9</v>
      </c>
      <c r="J63" s="13">
        <v>8.1</v>
      </c>
      <c r="K63" s="13">
        <v>9.1</v>
      </c>
    </row>
    <row r="64" spans="1:11" x14ac:dyDescent="0.2">
      <c r="A64" t="s">
        <v>114</v>
      </c>
      <c r="B64" t="s">
        <v>112</v>
      </c>
      <c r="C64" s="13">
        <v>5.8</v>
      </c>
      <c r="D64" s="13">
        <v>-2.9</v>
      </c>
      <c r="E64" s="13">
        <v>-0.2</v>
      </c>
      <c r="F64" s="13">
        <v>1.3</v>
      </c>
      <c r="G64" s="13">
        <v>2.9</v>
      </c>
      <c r="H64" s="13">
        <v>-2.7</v>
      </c>
      <c r="I64" s="13">
        <v>4.5999999999999996</v>
      </c>
      <c r="J64" s="13">
        <v>9.4</v>
      </c>
      <c r="K64" s="13">
        <v>5.3</v>
      </c>
    </row>
    <row r="65" spans="1:12" x14ac:dyDescent="0.2">
      <c r="A65" t="s">
        <v>116</v>
      </c>
      <c r="B65" s="6" t="s">
        <v>142</v>
      </c>
      <c r="C65" s="13">
        <v>3.9</v>
      </c>
      <c r="D65" s="13">
        <v>2.1</v>
      </c>
      <c r="E65" s="13">
        <v>1.5</v>
      </c>
      <c r="F65" s="13">
        <v>3.4</v>
      </c>
      <c r="G65" s="13">
        <v>4</v>
      </c>
      <c r="H65" s="13">
        <v>-7.8</v>
      </c>
      <c r="I65" s="13">
        <v>6.3</v>
      </c>
      <c r="J65" s="13">
        <v>15.7</v>
      </c>
      <c r="K65" s="13">
        <v>11.8</v>
      </c>
    </row>
    <row r="66" spans="1:12" x14ac:dyDescent="0.2">
      <c r="A66" t="s">
        <v>118</v>
      </c>
      <c r="B66" t="s">
        <v>115</v>
      </c>
      <c r="C66" s="13">
        <v>-3.5</v>
      </c>
      <c r="D66" s="13">
        <v>-8.1999999999999993</v>
      </c>
      <c r="E66" s="13">
        <v>5.6</v>
      </c>
      <c r="F66" s="13">
        <v>0.4</v>
      </c>
      <c r="G66" s="13">
        <v>-7</v>
      </c>
      <c r="H66" s="13">
        <v>7</v>
      </c>
      <c r="I66" s="13">
        <v>8.5</v>
      </c>
      <c r="J66" s="13">
        <v>-7.3</v>
      </c>
      <c r="K66" s="13">
        <v>8.3000000000000007</v>
      </c>
    </row>
    <row r="67" spans="1:12" x14ac:dyDescent="0.2">
      <c r="A67" t="s">
        <v>120</v>
      </c>
      <c r="B67" t="s">
        <v>117</v>
      </c>
      <c r="C67" s="13">
        <v>-0.4</v>
      </c>
      <c r="D67" s="13">
        <v>-0.5</v>
      </c>
      <c r="E67" s="13">
        <v>-1.8</v>
      </c>
      <c r="F67" s="13">
        <v>-1.8</v>
      </c>
      <c r="G67" s="13">
        <v>1.3</v>
      </c>
      <c r="H67" s="13">
        <v>-5.2</v>
      </c>
      <c r="I67" s="13">
        <v>5.7</v>
      </c>
      <c r="J67" s="13">
        <v>3.2</v>
      </c>
      <c r="K67" s="13">
        <v>6.7</v>
      </c>
    </row>
    <row r="68" spans="1:12" x14ac:dyDescent="0.2">
      <c r="A68" t="s">
        <v>122</v>
      </c>
      <c r="B68" t="s">
        <v>119</v>
      </c>
      <c r="C68" s="13">
        <v>3.3</v>
      </c>
      <c r="D68" s="13">
        <v>2.2999999999999998</v>
      </c>
      <c r="E68" s="13">
        <v>2.2000000000000002</v>
      </c>
      <c r="F68" s="13">
        <v>3.1</v>
      </c>
      <c r="G68" s="13">
        <v>3</v>
      </c>
      <c r="H68" s="13">
        <v>-2.2999999999999998</v>
      </c>
      <c r="I68" s="13">
        <v>4.4000000000000004</v>
      </c>
      <c r="J68" s="13">
        <v>10</v>
      </c>
      <c r="K68" s="13">
        <v>6.7</v>
      </c>
    </row>
    <row r="69" spans="1:12" x14ac:dyDescent="0.2">
      <c r="A69" t="s">
        <v>124</v>
      </c>
      <c r="B69" t="s">
        <v>121</v>
      </c>
      <c r="C69" s="13">
        <v>5.5</v>
      </c>
      <c r="D69" s="13">
        <v>4.2</v>
      </c>
      <c r="E69" s="13">
        <v>2.9</v>
      </c>
      <c r="F69" s="13">
        <v>3.2</v>
      </c>
      <c r="G69" s="13">
        <v>3.4</v>
      </c>
      <c r="H69" s="13">
        <v>6.1</v>
      </c>
      <c r="I69" s="13">
        <v>4.8</v>
      </c>
      <c r="J69" s="13">
        <v>8.1</v>
      </c>
      <c r="K69" s="13">
        <v>11.5</v>
      </c>
    </row>
    <row r="70" spans="1:12" x14ac:dyDescent="0.2">
      <c r="A70" t="s">
        <v>126</v>
      </c>
      <c r="B70" t="s">
        <v>123</v>
      </c>
      <c r="C70" s="13">
        <v>3.2</v>
      </c>
      <c r="D70" s="13">
        <v>3.2</v>
      </c>
      <c r="E70" s="13">
        <v>2.7</v>
      </c>
      <c r="F70" s="13">
        <v>3.6</v>
      </c>
      <c r="G70" s="13">
        <v>3.4</v>
      </c>
      <c r="H70" s="13">
        <v>-2</v>
      </c>
      <c r="I70" s="13">
        <v>3.5</v>
      </c>
      <c r="J70" s="13">
        <v>8.3000000000000007</v>
      </c>
      <c r="K70" s="13">
        <v>6.6</v>
      </c>
    </row>
    <row r="71" spans="1:12" x14ac:dyDescent="0.2">
      <c r="A71" t="s">
        <v>128</v>
      </c>
      <c r="B71" t="s">
        <v>125</v>
      </c>
      <c r="C71" s="13">
        <v>0.8</v>
      </c>
      <c r="D71" s="13">
        <v>0.1</v>
      </c>
      <c r="E71" s="13">
        <v>-0.8</v>
      </c>
      <c r="F71" s="13">
        <v>0.2</v>
      </c>
      <c r="G71" s="13">
        <v>3.6</v>
      </c>
      <c r="H71" s="13">
        <v>-8.1999999999999993</v>
      </c>
      <c r="I71" s="13">
        <v>0.5</v>
      </c>
      <c r="J71" s="13">
        <v>7.2</v>
      </c>
      <c r="K71" s="13">
        <v>12.3</v>
      </c>
    </row>
    <row r="72" spans="1:12" x14ac:dyDescent="0.2">
      <c r="A72" t="s">
        <v>130</v>
      </c>
      <c r="B72" t="s">
        <v>127</v>
      </c>
      <c r="C72" s="13">
        <v>2.2000000000000002</v>
      </c>
      <c r="D72" s="13">
        <v>-2.9</v>
      </c>
      <c r="E72" s="13">
        <v>-0.1</v>
      </c>
      <c r="F72" s="13">
        <v>1.3</v>
      </c>
      <c r="G72" s="13">
        <v>1.2</v>
      </c>
      <c r="H72" s="13">
        <v>-10.4</v>
      </c>
      <c r="I72" s="13">
        <v>11.2</v>
      </c>
      <c r="J72" s="13">
        <v>20.3</v>
      </c>
      <c r="K72" s="13">
        <v>2.9</v>
      </c>
    </row>
    <row r="73" spans="1:12" x14ac:dyDescent="0.2">
      <c r="A73" t="s">
        <v>132</v>
      </c>
      <c r="B73" t="s">
        <v>129</v>
      </c>
      <c r="C73" s="13">
        <v>1.7</v>
      </c>
      <c r="D73" s="13">
        <v>1</v>
      </c>
      <c r="E73" s="13">
        <v>1.6</v>
      </c>
      <c r="F73" s="13">
        <v>3</v>
      </c>
      <c r="G73" s="13">
        <v>1.8</v>
      </c>
      <c r="H73" s="13">
        <v>2.8</v>
      </c>
      <c r="I73" s="13">
        <v>3.1</v>
      </c>
      <c r="J73" s="13">
        <v>5.4</v>
      </c>
      <c r="K73" s="13">
        <v>7.3</v>
      </c>
    </row>
    <row r="74" spans="1:12" x14ac:dyDescent="0.2">
      <c r="A74" t="s">
        <v>134</v>
      </c>
      <c r="B74" t="s">
        <v>131</v>
      </c>
      <c r="C74" s="13">
        <v>1.7</v>
      </c>
      <c r="D74" s="13">
        <v>1</v>
      </c>
      <c r="E74" s="13">
        <v>1.6</v>
      </c>
      <c r="F74" s="13">
        <v>3</v>
      </c>
      <c r="G74" s="13">
        <v>1.8</v>
      </c>
      <c r="H74" s="13">
        <v>2.8</v>
      </c>
      <c r="I74" s="13">
        <v>3.2</v>
      </c>
      <c r="J74" s="13">
        <v>5.4</v>
      </c>
      <c r="K74" s="13">
        <v>7.5</v>
      </c>
    </row>
    <row r="75" spans="1:12" x14ac:dyDescent="0.2">
      <c r="A75" t="s">
        <v>145</v>
      </c>
      <c r="B75" t="s">
        <v>133</v>
      </c>
      <c r="C75" s="13">
        <v>1.6</v>
      </c>
      <c r="D75" s="13">
        <v>1.5</v>
      </c>
      <c r="E75" s="13">
        <v>2.6</v>
      </c>
      <c r="F75" s="13">
        <v>3.7</v>
      </c>
      <c r="G75" s="13">
        <v>2.2000000000000002</v>
      </c>
      <c r="H75" s="13">
        <v>1</v>
      </c>
      <c r="I75" s="13">
        <v>2.6</v>
      </c>
      <c r="J75" s="13">
        <v>2.7</v>
      </c>
      <c r="K75" s="13">
        <v>6.8</v>
      </c>
    </row>
    <row r="76" spans="1:12" x14ac:dyDescent="0.2">
      <c r="A76" s="7" t="s">
        <v>146</v>
      </c>
      <c r="B76" s="7" t="s">
        <v>135</v>
      </c>
      <c r="C76" s="12">
        <v>1.3</v>
      </c>
      <c r="D76" s="12">
        <v>0</v>
      </c>
      <c r="E76" s="12">
        <v>0.4</v>
      </c>
      <c r="F76" s="12">
        <v>2.8</v>
      </c>
      <c r="G76" s="12">
        <v>3.1</v>
      </c>
      <c r="H76" s="12">
        <v>5.6</v>
      </c>
      <c r="I76" s="12">
        <v>3</v>
      </c>
      <c r="J76" s="12">
        <v>9.6</v>
      </c>
      <c r="K76" s="12">
        <v>1.2</v>
      </c>
    </row>
    <row r="77" spans="1:12" ht="12.95" customHeight="1" x14ac:dyDescent="0.2">
      <c r="A77" s="23" t="s">
        <v>162</v>
      </c>
      <c r="B77" s="24"/>
      <c r="C77" s="24"/>
      <c r="D77" s="24"/>
      <c r="E77" s="24"/>
      <c r="F77" s="24"/>
      <c r="G77" s="24"/>
      <c r="H77" s="24"/>
      <c r="I77" s="24"/>
      <c r="J77" s="24"/>
      <c r="K77" s="24"/>
      <c r="L77" s="15"/>
    </row>
    <row r="78" spans="1:12" s="6" customFormat="1" ht="27.95" customHeight="1" x14ac:dyDescent="0.2">
      <c r="A78" s="17" t="s">
        <v>152</v>
      </c>
      <c r="B78" s="17"/>
      <c r="C78" s="17"/>
      <c r="D78" s="17"/>
      <c r="E78" s="17"/>
      <c r="F78" s="17"/>
      <c r="G78" s="17"/>
      <c r="H78" s="17"/>
      <c r="I78" s="17"/>
      <c r="J78" s="17"/>
      <c r="K78" s="17"/>
      <c r="L78" s="14"/>
    </row>
    <row r="79" spans="1:12" s="6" customFormat="1" ht="27.95" customHeight="1" x14ac:dyDescent="0.2">
      <c r="A79" s="17" t="s">
        <v>151</v>
      </c>
      <c r="B79" s="17"/>
      <c r="C79" s="17"/>
      <c r="D79" s="17"/>
      <c r="E79" s="17"/>
      <c r="F79" s="17"/>
      <c r="G79" s="17"/>
      <c r="H79" s="17"/>
      <c r="I79" s="17"/>
      <c r="J79" s="17"/>
      <c r="K79" s="17"/>
      <c r="L79" s="14"/>
    </row>
    <row r="80" spans="1:12" s="6" customFormat="1" ht="12.95" customHeight="1" x14ac:dyDescent="0.2">
      <c r="A80" s="17" t="s">
        <v>150</v>
      </c>
      <c r="B80" s="17"/>
      <c r="C80" s="17"/>
      <c r="D80" s="17"/>
      <c r="E80" s="17"/>
      <c r="F80" s="17"/>
      <c r="G80" s="17"/>
      <c r="H80" s="17"/>
      <c r="I80" s="17"/>
      <c r="J80" s="17"/>
      <c r="K80" s="17"/>
      <c r="L80" s="14"/>
    </row>
    <row r="81" spans="1:12" s="6" customFormat="1" ht="12.95" customHeight="1" x14ac:dyDescent="0.2">
      <c r="A81" s="17" t="s">
        <v>149</v>
      </c>
      <c r="B81" s="17"/>
      <c r="C81" s="17"/>
      <c r="D81" s="17"/>
      <c r="E81" s="17"/>
      <c r="F81" s="17"/>
      <c r="G81" s="17"/>
      <c r="H81" s="17"/>
      <c r="I81" s="17"/>
      <c r="J81" s="17"/>
      <c r="K81" s="17"/>
      <c r="L81" s="14"/>
    </row>
    <row r="82" spans="1:12" s="6" customFormat="1" ht="24.95" customHeight="1" x14ac:dyDescent="0.2">
      <c r="A82" s="17"/>
      <c r="B82" s="17"/>
      <c r="C82" s="17"/>
      <c r="D82" s="17"/>
      <c r="E82" s="17"/>
      <c r="F82" s="17"/>
      <c r="G82" s="17"/>
      <c r="H82" s="11"/>
    </row>
  </sheetData>
  <mergeCells count="8">
    <mergeCell ref="A1:K1"/>
    <mergeCell ref="A2:G2"/>
    <mergeCell ref="A81:K81"/>
    <mergeCell ref="A77:K77"/>
    <mergeCell ref="A78:K78"/>
    <mergeCell ref="A79:K79"/>
    <mergeCell ref="A80:K80"/>
    <mergeCell ref="A82:G82"/>
  </mergeCells>
  <phoneticPr fontId="7" type="noConversion"/>
  <pageMargins left="0.75" right="0.75" top="1" bottom="1" header="0.5" footer="0.5"/>
  <pageSetup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RealVA</vt:lpstr>
      <vt:lpstr>VA</vt:lpstr>
      <vt:lpstr>VAPercentGDP</vt:lpstr>
      <vt:lpstr>VAPercentMESAVA</vt:lpstr>
      <vt:lpstr>ChainQtyIndexes</vt:lpstr>
      <vt:lpstr>%ChangeChainQtyIndexes</vt:lpstr>
      <vt:lpstr>ChainPriceIndexes</vt:lpstr>
      <vt:lpstr>%ChangeChainPriceIndexes</vt:lpstr>
      <vt:lpstr>'%ChangeChainPriceIndexes'!Print_Area</vt:lpstr>
      <vt:lpstr>'%ChangeChainQtyIndexes'!Print_Area</vt:lpstr>
      <vt:lpstr>ChainPriceIndexes!Print_Area</vt:lpstr>
      <vt:lpstr>ChainQtyIndexes!Print_Area</vt:lpstr>
      <vt:lpstr>RealVA!Print_Area</vt:lpstr>
      <vt:lpstr>VA!Print_Area</vt:lpstr>
      <vt:lpstr>VAPercentGDP!Print_Area</vt:lpstr>
      <vt:lpstr>VAPercentMESAVA!Print_Area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Nicolls, William</dc:creator>
  <cp:lastModifiedBy>James Hogan</cp:lastModifiedBy>
  <dcterms:created xsi:type="dcterms:W3CDTF">2023-05-17T18:58:04Z</dcterms:created>
  <dcterms:modified xsi:type="dcterms:W3CDTF">2026-04-14T04:14:18Z</dcterms:modified>
</cp:coreProperties>
</file>