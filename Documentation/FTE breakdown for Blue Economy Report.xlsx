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om BigDisk\GIT\Ocean_Accounts\Documentation\"/>
    </mc:Choice>
  </mc:AlternateContent>
  <xr:revisionPtr revIDLastSave="0" documentId="8_{E7FF0D5B-1B6E-452C-8F28-35AA6E169CA3}" xr6:coauthVersionLast="47" xr6:coauthVersionMax="47" xr10:uidLastSave="{00000000-0000-0000-0000-000000000000}"/>
  <bookViews>
    <workbookView xWindow="-28920" yWindow="-120" windowWidth="29040" windowHeight="15720" xr2:uid="{8774D104-1371-448A-B17B-5DD70604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B32" i="1"/>
  <c r="I32" i="1"/>
  <c r="J32" i="1"/>
  <c r="K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E20" i="1"/>
  <c r="E21" i="1"/>
  <c r="E22" i="1"/>
  <c r="E23" i="1"/>
  <c r="E24" i="1"/>
  <c r="E25" i="1"/>
  <c r="E26" i="1"/>
  <c r="E27" i="1"/>
  <c r="E28" i="1"/>
  <c r="E29" i="1"/>
  <c r="E30" i="1"/>
  <c r="E31" i="1"/>
  <c r="E19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</calcChain>
</file>

<file path=xl/sharedStrings.xml><?xml version="1.0" encoding="utf-8"?>
<sst xmlns="http://schemas.openxmlformats.org/spreadsheetml/2006/main" count="59" uniqueCount="41">
  <si>
    <t>&lt;h2 style="font-weight:inherit;font-size:inherit;font-style:inherit;"&gt;Employment Share by Sector (% of total)&lt;/h2&gt;</t>
  </si>
  <si>
    <t>Category</t>
  </si>
  <si>
    <t>Agriculture; forestry and fishing</t>
  </si>
  <si>
    <t>Mining and quarrying</t>
  </si>
  <si>
    <t>Manufacturing</t>
  </si>
  <si>
    <t>Electricity;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</si>
  <si>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</si>
  <si>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</si>
  <si>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</si>
  <si>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</si>
  <si>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</si>
  <si>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</si>
  <si>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</si>
  <si>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</si>
  <si>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</si>
  <si>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</si>
  <si>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</si>
  <si>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</si>
  <si>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</si>
  <si>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</si>
  <si>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</si>
  <si>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</si>
  <si>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</si>
  <si>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Cook Islands</t>
  </si>
  <si>
    <t>Kiribati</t>
  </si>
  <si>
    <t>Marshall Islands</t>
  </si>
  <si>
    <t>Micronesia (Federated States of)</t>
  </si>
  <si>
    <t>Nauru</t>
  </si>
  <si>
    <t>Niue</t>
  </si>
  <si>
    <t>Palau</t>
  </si>
  <si>
    <t>Samoa</t>
  </si>
  <si>
    <t>Solomon Islands</t>
  </si>
  <si>
    <t>Tonga</t>
  </si>
  <si>
    <t>Tuvalu</t>
  </si>
  <si>
    <t>Tokelau</t>
  </si>
  <si>
    <t>Vanuatu</t>
  </si>
  <si>
    <t>Primary</t>
  </si>
  <si>
    <t>Goods Producing</t>
  </si>
  <si>
    <t>Services Producing</t>
  </si>
  <si>
    <t>Country</t>
  </si>
  <si>
    <t>Regional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</si>
</sst>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1A1D2E"/>
      <name val="Arial"/>
      <family val="2"/>
    </font>
    <font>
      <sz val="9"/>
      <color rgb="FF1A1D2E"/>
      <name val="Arial"/>
      <family val="2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9" fontId="2" fillId="0" borderId="0" xfId="1" applyFont="1" applyAlignment="1">
      <alignment horizontal="left"/>
    </xf>
    <xf numFmtId="9" fontId="2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9" fontId="5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B489-6D99-410B-8890-5DD26D924C7F}">
  <dimension ref="A1:V32"/>
  <sheetViews>
    <sheetView tabSelected="1" topLeftCell="A2" workbookViewId="0">
      <selection activeCell="N18" sqref="N18:Q32"/>
    </sheetView>
  </sheetViews>
  <sheetFormatPr defaultRowHeight="12" x14ac:dyDescent="0.2"/>
  <cols>
    <col min="1" max="1" width="44.28515625" style="3" customWidth="1"/>
    <col min="2" max="13" width="9.140625" style="3"/>
    <col min="14" max="14" width="24" style="3" bestFit="1" customWidth="1"/>
    <col min="15" max="20" width="9.140625" style="3"/>
    <col min="21" max="21" width="28.7109375" style="3" customWidth="1"/>
    <col min="22" max="16384" width="9.140625" style="3"/>
  </cols>
  <sheetData>
    <row r="1" spans="1:2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04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 r="3" spans="1:22" x14ac:dyDescent="0.2">
      <c r="A3" s="4" t="s">
        <v>23</v>
      </c>
      <c r="B3" s="5">
        <v>245</v>
      </c>
      <c r="C3" s="5"/>
      <c r="D3" s="5">
        <v>171</v>
      </c>
      <c r="E3" s="5">
        <v>47</v>
      </c>
      <c r="F3" s="5"/>
      <c r="G3" s="5">
        <v>506</v>
      </c>
      <c r="H3" s="5">
        <v>1076</v>
      </c>
      <c r="I3" s="5">
        <v>304</v>
      </c>
      <c r="J3" s="5">
        <v>843</v>
      </c>
      <c r="K3" s="5">
        <v>259</v>
      </c>
      <c r="L3" s="5">
        <v>241</v>
      </c>
      <c r="M3" s="5"/>
      <c r="N3" s="5">
        <v>108</v>
      </c>
      <c r="O3" s="5">
        <v>517</v>
      </c>
      <c r="P3" s="5">
        <v>1589</v>
      </c>
      <c r="Q3" s="5">
        <v>316</v>
      </c>
      <c r="R3" s="5">
        <v>287</v>
      </c>
      <c r="S3" s="5">
        <v>129</v>
      </c>
      <c r="T3" s="5">
        <v>115</v>
      </c>
      <c r="U3" s="5">
        <v>100</v>
      </c>
      <c r="V3" s="5"/>
    </row>
    <row r="4" spans="1:22" x14ac:dyDescent="0.2">
      <c r="A4" s="4" t="s">
        <v>24</v>
      </c>
      <c r="B4" s="5">
        <v>4264</v>
      </c>
      <c r="C4" s="5">
        <v>55</v>
      </c>
      <c r="D4" s="5">
        <v>1310</v>
      </c>
      <c r="E4" s="5">
        <v>217</v>
      </c>
      <c r="F4" s="5">
        <v>60</v>
      </c>
      <c r="G4" s="5">
        <v>661</v>
      </c>
      <c r="H4" s="5">
        <v>6252</v>
      </c>
      <c r="I4" s="5">
        <v>2139</v>
      </c>
      <c r="J4" s="5">
        <v>751</v>
      </c>
      <c r="K4" s="5">
        <v>210</v>
      </c>
      <c r="L4" s="5">
        <v>218</v>
      </c>
      <c r="M4" s="5">
        <v>158</v>
      </c>
      <c r="N4" s="5">
        <v>20</v>
      </c>
      <c r="O4" s="5">
        <v>737</v>
      </c>
      <c r="P4" s="5">
        <v>3204</v>
      </c>
      <c r="Q4" s="5">
        <v>2434</v>
      </c>
      <c r="R4" s="5">
        <v>1136</v>
      </c>
      <c r="S4" s="5">
        <v>162</v>
      </c>
      <c r="T4" s="5">
        <v>433</v>
      </c>
      <c r="U4" s="5">
        <v>607</v>
      </c>
      <c r="V4" s="5">
        <v>155</v>
      </c>
    </row>
    <row r="5" spans="1:22" x14ac:dyDescent="0.2">
      <c r="A5" s="4" t="s">
        <v>25</v>
      </c>
      <c r="B5" s="5">
        <v>825</v>
      </c>
      <c r="C5" s="5"/>
      <c r="D5" s="5">
        <v>515</v>
      </c>
      <c r="E5" s="5">
        <v>695</v>
      </c>
      <c r="F5" s="5">
        <v>166</v>
      </c>
      <c r="G5" s="5">
        <v>1149</v>
      </c>
      <c r="H5" s="5">
        <v>1736</v>
      </c>
      <c r="I5" s="5">
        <v>1037</v>
      </c>
      <c r="J5" s="5">
        <v>702</v>
      </c>
      <c r="K5" s="5">
        <v>216</v>
      </c>
      <c r="L5" s="5">
        <v>353</v>
      </c>
      <c r="M5" s="5"/>
      <c r="N5" s="5">
        <v>201</v>
      </c>
      <c r="O5" s="5">
        <v>1128</v>
      </c>
      <c r="P5" s="5">
        <v>2260</v>
      </c>
      <c r="Q5" s="5">
        <v>2016</v>
      </c>
      <c r="R5" s="5">
        <v>836</v>
      </c>
      <c r="S5" s="5">
        <v>47</v>
      </c>
      <c r="T5" s="5">
        <v>263</v>
      </c>
      <c r="U5" s="5">
        <v>1684</v>
      </c>
      <c r="V5" s="5">
        <v>304</v>
      </c>
    </row>
    <row r="6" spans="1:22" x14ac:dyDescent="0.2">
      <c r="A6" s="4" t="s">
        <v>26</v>
      </c>
      <c r="B6" s="5">
        <v>821</v>
      </c>
      <c r="C6" s="5">
        <v>65</v>
      </c>
      <c r="D6" s="5">
        <v>429</v>
      </c>
      <c r="E6" s="5">
        <v>322</v>
      </c>
      <c r="F6" s="5">
        <v>75</v>
      </c>
      <c r="G6" s="5">
        <v>878</v>
      </c>
      <c r="H6" s="5">
        <v>3280</v>
      </c>
      <c r="I6" s="5">
        <v>702</v>
      </c>
      <c r="J6" s="5">
        <v>859</v>
      </c>
      <c r="K6" s="5">
        <v>228</v>
      </c>
      <c r="L6" s="5">
        <v>203</v>
      </c>
      <c r="M6" s="5"/>
      <c r="N6" s="5">
        <v>205</v>
      </c>
      <c r="O6" s="5">
        <v>246</v>
      </c>
      <c r="P6" s="5">
        <v>3269</v>
      </c>
      <c r="Q6" s="5">
        <v>2725</v>
      </c>
      <c r="R6" s="5">
        <v>1277</v>
      </c>
      <c r="S6" s="5">
        <v>116</v>
      </c>
      <c r="T6" s="5">
        <v>152</v>
      </c>
      <c r="U6" s="5">
        <v>321</v>
      </c>
      <c r="V6" s="5">
        <v>168</v>
      </c>
    </row>
    <row r="7" spans="1:22" x14ac:dyDescent="0.2">
      <c r="A7" s="4" t="s">
        <v>27</v>
      </c>
      <c r="B7" s="5">
        <v>84</v>
      </c>
      <c r="C7" s="5">
        <v>782</v>
      </c>
      <c r="D7" s="5">
        <v>383</v>
      </c>
      <c r="E7" s="5">
        <v>88</v>
      </c>
      <c r="F7" s="5">
        <v>6</v>
      </c>
      <c r="G7" s="5">
        <v>122</v>
      </c>
      <c r="H7" s="5">
        <v>289</v>
      </c>
      <c r="I7" s="5">
        <v>89</v>
      </c>
      <c r="J7" s="5">
        <v>259</v>
      </c>
      <c r="K7" s="5">
        <v>29</v>
      </c>
      <c r="L7" s="5">
        <v>165</v>
      </c>
      <c r="M7" s="5"/>
      <c r="N7" s="5">
        <v>42</v>
      </c>
      <c r="O7" s="5">
        <v>586</v>
      </c>
      <c r="P7" s="5">
        <v>578</v>
      </c>
      <c r="Q7" s="5">
        <v>283</v>
      </c>
      <c r="R7" s="5">
        <v>369</v>
      </c>
      <c r="S7" s="5"/>
      <c r="T7" s="5">
        <v>33</v>
      </c>
      <c r="U7" s="5">
        <v>24</v>
      </c>
      <c r="V7" s="5">
        <v>95</v>
      </c>
    </row>
    <row r="8" spans="1:22" x14ac:dyDescent="0.2">
      <c r="A8" s="4" t="s">
        <v>28</v>
      </c>
      <c r="B8" s="5">
        <v>59</v>
      </c>
      <c r="C8" s="5">
        <v>10</v>
      </c>
      <c r="D8" s="5">
        <v>11</v>
      </c>
      <c r="E8" s="5">
        <v>23</v>
      </c>
      <c r="F8" s="5">
        <v>12</v>
      </c>
      <c r="G8" s="5">
        <v>54</v>
      </c>
      <c r="H8" s="5">
        <v>74</v>
      </c>
      <c r="I8" s="5">
        <v>33</v>
      </c>
      <c r="J8" s="5">
        <v>62</v>
      </c>
      <c r="K8" s="5">
        <v>39</v>
      </c>
      <c r="L8" s="5">
        <v>13</v>
      </c>
      <c r="M8" s="5"/>
      <c r="N8" s="5">
        <v>38</v>
      </c>
      <c r="O8" s="5">
        <v>89</v>
      </c>
      <c r="P8" s="5">
        <v>86</v>
      </c>
      <c r="Q8" s="5">
        <v>66</v>
      </c>
      <c r="R8" s="5">
        <v>45</v>
      </c>
      <c r="S8" s="5">
        <v>7</v>
      </c>
      <c r="T8" s="5">
        <v>15</v>
      </c>
      <c r="U8" s="5"/>
      <c r="V8" s="5"/>
    </row>
    <row r="9" spans="1:22" x14ac:dyDescent="0.2">
      <c r="A9" s="4" t="s">
        <v>29</v>
      </c>
      <c r="B9" s="5">
        <v>517</v>
      </c>
      <c r="C9" s="5">
        <v>46</v>
      </c>
      <c r="D9" s="5">
        <v>176</v>
      </c>
      <c r="E9" s="5">
        <v>116</v>
      </c>
      <c r="F9" s="5">
        <v>116</v>
      </c>
      <c r="G9" s="5">
        <v>769</v>
      </c>
      <c r="H9" s="5">
        <v>1122</v>
      </c>
      <c r="I9" s="5">
        <v>326</v>
      </c>
      <c r="J9" s="5">
        <v>1021</v>
      </c>
      <c r="K9" s="5">
        <v>147</v>
      </c>
      <c r="L9" s="5">
        <v>102</v>
      </c>
      <c r="M9" s="5">
        <v>58</v>
      </c>
      <c r="N9" s="5">
        <v>323</v>
      </c>
      <c r="O9" s="5">
        <v>1338</v>
      </c>
      <c r="P9" s="5">
        <v>840</v>
      </c>
      <c r="Q9" s="5">
        <v>686</v>
      </c>
      <c r="R9" s="5">
        <v>401</v>
      </c>
      <c r="S9" s="5">
        <v>148</v>
      </c>
      <c r="T9" s="5">
        <v>173</v>
      </c>
      <c r="U9" s="5">
        <v>469</v>
      </c>
      <c r="V9" s="5">
        <v>23</v>
      </c>
    </row>
    <row r="10" spans="1:22" x14ac:dyDescent="0.2">
      <c r="A10" s="4" t="s">
        <v>30</v>
      </c>
      <c r="B10" s="5">
        <v>2336</v>
      </c>
      <c r="C10" s="5">
        <v>87</v>
      </c>
      <c r="D10" s="5">
        <v>4030</v>
      </c>
      <c r="E10" s="5">
        <v>455</v>
      </c>
      <c r="F10" s="5">
        <v>274</v>
      </c>
      <c r="G10" s="5">
        <v>1362</v>
      </c>
      <c r="H10" s="5">
        <v>3992</v>
      </c>
      <c r="I10" s="5">
        <v>1603</v>
      </c>
      <c r="J10" s="5">
        <v>1548</v>
      </c>
      <c r="K10" s="5">
        <v>707</v>
      </c>
      <c r="L10" s="5">
        <v>1369</v>
      </c>
      <c r="M10" s="5">
        <v>183</v>
      </c>
      <c r="N10" s="5">
        <v>844</v>
      </c>
      <c r="O10" s="5">
        <v>2461</v>
      </c>
      <c r="P10" s="5">
        <v>2026</v>
      </c>
      <c r="Q10" s="5">
        <v>3295</v>
      </c>
      <c r="R10" s="5">
        <v>965</v>
      </c>
      <c r="S10" s="5">
        <v>252</v>
      </c>
      <c r="T10" s="5">
        <v>4452</v>
      </c>
      <c r="U10" s="5">
        <v>14691</v>
      </c>
      <c r="V10" s="5">
        <v>82</v>
      </c>
    </row>
    <row r="11" spans="1:22" x14ac:dyDescent="0.2">
      <c r="A11" s="4" t="s">
        <v>31</v>
      </c>
      <c r="B11" s="5">
        <v>44668</v>
      </c>
      <c r="C11" s="5">
        <v>1131</v>
      </c>
      <c r="D11" s="5">
        <v>9574</v>
      </c>
      <c r="E11" s="5">
        <v>155</v>
      </c>
      <c r="F11" s="5"/>
      <c r="G11" s="5">
        <v>4438</v>
      </c>
      <c r="H11" s="5">
        <v>17805</v>
      </c>
      <c r="I11" s="5">
        <v>4299</v>
      </c>
      <c r="J11" s="5">
        <v>1384</v>
      </c>
      <c r="K11" s="5">
        <v>877</v>
      </c>
      <c r="L11" s="5">
        <v>1438</v>
      </c>
      <c r="M11" s="5">
        <v>120</v>
      </c>
      <c r="N11" s="5">
        <v>1270</v>
      </c>
      <c r="O11" s="5">
        <v>5418</v>
      </c>
      <c r="P11" s="5">
        <v>4694</v>
      </c>
      <c r="Q11" s="5">
        <v>13368</v>
      </c>
      <c r="R11" s="5">
        <v>2068</v>
      </c>
      <c r="S11" s="5">
        <v>571</v>
      </c>
      <c r="T11" s="5">
        <v>5309</v>
      </c>
      <c r="U11" s="5">
        <v>6617</v>
      </c>
      <c r="V11" s="5">
        <v>157</v>
      </c>
    </row>
    <row r="12" spans="1:22" x14ac:dyDescent="0.2">
      <c r="A12" s="4" t="s">
        <v>32</v>
      </c>
      <c r="B12" s="5">
        <v>3511</v>
      </c>
      <c r="C12" s="5">
        <v>126</v>
      </c>
      <c r="D12" s="5">
        <v>3962</v>
      </c>
      <c r="E12" s="5">
        <v>236</v>
      </c>
      <c r="F12" s="5">
        <v>295</v>
      </c>
      <c r="G12" s="5">
        <v>2832</v>
      </c>
      <c r="H12" s="5">
        <v>3994</v>
      </c>
      <c r="I12" s="5">
        <v>1080</v>
      </c>
      <c r="J12" s="5">
        <v>793</v>
      </c>
      <c r="K12" s="5">
        <v>440</v>
      </c>
      <c r="L12" s="5">
        <v>460</v>
      </c>
      <c r="M12" s="5">
        <v>18</v>
      </c>
      <c r="N12" s="5">
        <v>121</v>
      </c>
      <c r="O12" s="5">
        <v>1332</v>
      </c>
      <c r="P12" s="5">
        <v>4005</v>
      </c>
      <c r="Q12" s="5">
        <v>1901</v>
      </c>
      <c r="R12" s="5">
        <v>864</v>
      </c>
      <c r="S12" s="5">
        <v>219</v>
      </c>
      <c r="T12" s="5">
        <v>1199</v>
      </c>
      <c r="U12" s="5">
        <v>242</v>
      </c>
      <c r="V12" s="5">
        <v>21</v>
      </c>
    </row>
    <row r="13" spans="1:22" x14ac:dyDescent="0.2">
      <c r="A13" s="4" t="s">
        <v>33</v>
      </c>
      <c r="B13" s="5">
        <v>213</v>
      </c>
      <c r="C13" s="5"/>
      <c r="D13" s="5">
        <v>210</v>
      </c>
      <c r="E13" s="5">
        <v>28</v>
      </c>
      <c r="F13" s="5">
        <v>69</v>
      </c>
      <c r="G13" s="5">
        <v>241</v>
      </c>
      <c r="H13" s="5">
        <v>233</v>
      </c>
      <c r="I13" s="5">
        <v>127</v>
      </c>
      <c r="J13" s="5">
        <v>42</v>
      </c>
      <c r="K13" s="5">
        <v>72</v>
      </c>
      <c r="L13" s="5">
        <v>143</v>
      </c>
      <c r="M13" s="5"/>
      <c r="N13" s="5">
        <v>98</v>
      </c>
      <c r="O13" s="5">
        <v>128</v>
      </c>
      <c r="P13" s="5">
        <v>405</v>
      </c>
      <c r="Q13" s="5">
        <v>269</v>
      </c>
      <c r="R13" s="5">
        <v>83</v>
      </c>
      <c r="S13" s="5">
        <v>14</v>
      </c>
      <c r="T13" s="5">
        <v>54</v>
      </c>
      <c r="U13" s="5">
        <v>10</v>
      </c>
      <c r="V13" s="5"/>
    </row>
    <row r="14" spans="1:22" x14ac:dyDescent="0.2">
      <c r="A14" s="4" t="s">
        <v>34</v>
      </c>
      <c r="B14" s="5"/>
      <c r="C14" s="5"/>
      <c r="D14" s="5">
        <v>63</v>
      </c>
      <c r="E14" s="5">
        <v>22</v>
      </c>
      <c r="F14" s="5"/>
      <c r="G14" s="5">
        <v>28</v>
      </c>
      <c r="H14" s="5">
        <v>30</v>
      </c>
      <c r="I14" s="5"/>
      <c r="J14" s="5"/>
      <c r="K14" s="5"/>
      <c r="L14" s="5"/>
      <c r="M14" s="5"/>
      <c r="N14" s="5"/>
      <c r="O14" s="5"/>
      <c r="P14" s="5">
        <v>278</v>
      </c>
      <c r="Q14" s="5">
        <v>66</v>
      </c>
      <c r="R14" s="5">
        <v>31</v>
      </c>
      <c r="S14" s="5"/>
      <c r="T14" s="5"/>
      <c r="U14" s="5"/>
      <c r="V14" s="5"/>
    </row>
    <row r="15" spans="1:22" x14ac:dyDescent="0.2">
      <c r="A15" s="4" t="s">
        <v>35</v>
      </c>
      <c r="B15" s="5">
        <v>31617</v>
      </c>
      <c r="C15" s="5">
        <v>162</v>
      </c>
      <c r="D15" s="5">
        <v>3856</v>
      </c>
      <c r="E15" s="5">
        <v>182</v>
      </c>
      <c r="F15" s="5"/>
      <c r="G15" s="5">
        <v>3299</v>
      </c>
      <c r="H15" s="5">
        <v>11180</v>
      </c>
      <c r="I15" s="5">
        <v>3629</v>
      </c>
      <c r="J15" s="5">
        <v>5507</v>
      </c>
      <c r="K15" s="5">
        <v>521</v>
      </c>
      <c r="L15" s="5">
        <v>1094</v>
      </c>
      <c r="M15" s="5"/>
      <c r="N15" s="5">
        <v>2597</v>
      </c>
      <c r="O15" s="5">
        <v>3350</v>
      </c>
      <c r="P15" s="5">
        <v>4377</v>
      </c>
      <c r="Q15" s="5">
        <v>4793</v>
      </c>
      <c r="R15" s="5">
        <v>1167</v>
      </c>
      <c r="S15" s="5">
        <v>722</v>
      </c>
      <c r="T15" s="5">
        <v>676</v>
      </c>
      <c r="U15" s="5">
        <v>2284</v>
      </c>
      <c r="V15" s="5"/>
    </row>
    <row r="18" spans="1:17" x14ac:dyDescent="0.2">
      <c r="B18" s="3" t="s">
        <v>36</v>
      </c>
      <c r="C18" s="3" t="s">
        <v>37</v>
      </c>
      <c r="D18" s="3" t="s">
        <v>38</v>
      </c>
      <c r="H18" s="3" t="s">
        <v>39</v>
      </c>
      <c r="I18" s="3" t="str">
        <f>B18</f>
        <v>Primary</v>
      </c>
      <c r="J18" s="3" t="str">
        <f t="shared" ref="J18:K18" si="0">C18</f>
        <v>Goods Producing</v>
      </c>
      <c r="K18" s="3" t="str">
        <f t="shared" si="0"/>
        <v>Services Producing</v>
      </c>
      <c r="N18" s="8" t="s">
        <v>39</v>
      </c>
      <c r="O18" s="8" t="s">
        <v>36</v>
      </c>
      <c r="P18" s="8" t="s">
        <v>37</v>
      </c>
      <c r="Q18" s="8" t="s">
        <v>38</v>
      </c>
    </row>
    <row r="19" spans="1:17" x14ac:dyDescent="0.2">
      <c r="A19" s="3" t="str">
        <f>A3</f>
        <v>Cook Islands</v>
      </c>
      <c r="B19" s="3">
        <f>B3+C3+U3</f>
        <v>345</v>
      </c>
      <c r="C19" s="3">
        <f>D3</f>
        <v>171</v>
      </c>
      <c r="D19" s="3">
        <f>SUM(E3:T3)</f>
        <v>6337</v>
      </c>
      <c r="E19" s="3">
        <f>SUM(B19:D19)</f>
        <v>6853</v>
      </c>
      <c r="H19" s="3" t="str">
        <f>A19</f>
        <v>Cook Islands</v>
      </c>
      <c r="I19" s="6">
        <f>B19/$E19</f>
        <v>5.0342915511454839E-2</v>
      </c>
      <c r="J19" s="6">
        <f t="shared" ref="J19:K19" si="1">C19/$E19</f>
        <v>2.4952575514373267E-2</v>
      </c>
      <c r="K19" s="6">
        <f t="shared" si="1"/>
        <v>0.92470450897417189</v>
      </c>
      <c r="N19" s="3" t="s">
        <v>35</v>
      </c>
      <c r="O19" s="7">
        <v>0.42046338242010539</v>
      </c>
      <c r="P19" s="7">
        <v>4.7597299198894008E-2</v>
      </c>
      <c r="Q19" s="7">
        <v>0.53193931838100061</v>
      </c>
    </row>
    <row r="20" spans="1:17" x14ac:dyDescent="0.2">
      <c r="A20" s="3" t="str">
        <f t="shared" ref="A20:A31" si="2">A4</f>
        <v>Kiribati</v>
      </c>
      <c r="B20" s="3">
        <f t="shared" ref="B20:B31" si="3">B4+C4+U4</f>
        <v>4926</v>
      </c>
      <c r="C20" s="3">
        <f t="shared" ref="C20:C31" si="4">D4</f>
        <v>1310</v>
      </c>
      <c r="D20" s="3">
        <f t="shared" ref="D20:D31" si="5">SUM(E4:T4)</f>
        <v>18792</v>
      </c>
      <c r="E20" s="3">
        <f t="shared" ref="E20:E31" si="6">SUM(B20:D20)</f>
        <v>25028</v>
      </c>
      <c r="H20" s="3" t="str">
        <f t="shared" ref="H20:H31" si="7">A20</f>
        <v>Kiribati</v>
      </c>
      <c r="I20" s="6">
        <f t="shared" ref="I20:I31" si="8">B20/$E20</f>
        <v>0.1968195620904587</v>
      </c>
      <c r="J20" s="6">
        <f t="shared" ref="J20:J31" si="9">C20/$E20</f>
        <v>5.2341377657024131E-2</v>
      </c>
      <c r="K20" s="6">
        <f t="shared" ref="K20:K31" si="10">D20/$E20</f>
        <v>0.75083906025251723</v>
      </c>
      <c r="N20" s="3" t="s">
        <v>31</v>
      </c>
      <c r="O20" s="7">
        <v>0.41864477173253251</v>
      </c>
      <c r="P20" s="7">
        <v>7.6467205520590401E-2</v>
      </c>
      <c r="Q20" s="7">
        <v>0.50488802274687705</v>
      </c>
    </row>
    <row r="21" spans="1:17" x14ac:dyDescent="0.2">
      <c r="A21" s="3" t="str">
        <f t="shared" si="2"/>
        <v>Marshall Islands</v>
      </c>
      <c r="B21" s="3">
        <f t="shared" si="3"/>
        <v>2509</v>
      </c>
      <c r="C21" s="3">
        <f t="shared" si="4"/>
        <v>515</v>
      </c>
      <c r="D21" s="3">
        <f t="shared" si="5"/>
        <v>12805</v>
      </c>
      <c r="E21" s="3">
        <f t="shared" si="6"/>
        <v>15829</v>
      </c>
      <c r="H21" s="3" t="str">
        <f t="shared" si="7"/>
        <v>Marshall Islands</v>
      </c>
      <c r="I21" s="6">
        <f t="shared" si="8"/>
        <v>0.1585065386316255</v>
      </c>
      <c r="J21" s="6">
        <f t="shared" si="9"/>
        <v>3.2535220165518984E-2</v>
      </c>
      <c r="K21" s="6">
        <f t="shared" si="10"/>
        <v>0.80895824120285553</v>
      </c>
      <c r="N21" s="3" t="s">
        <v>30</v>
      </c>
      <c r="O21" s="7">
        <v>0.36465524588766729</v>
      </c>
      <c r="P21" s="7">
        <v>8.586891673058894E-2</v>
      </c>
      <c r="Q21" s="7">
        <v>0.54947583738174377</v>
      </c>
    </row>
    <row r="22" spans="1:17" x14ac:dyDescent="0.2">
      <c r="A22" s="3" t="str">
        <f t="shared" si="2"/>
        <v>Micronesia (Federated States of)</v>
      </c>
      <c r="B22" s="3">
        <f t="shared" si="3"/>
        <v>1207</v>
      </c>
      <c r="C22" s="3">
        <f t="shared" si="4"/>
        <v>429</v>
      </c>
      <c r="D22" s="3">
        <f t="shared" si="5"/>
        <v>14537</v>
      </c>
      <c r="E22" s="3">
        <f t="shared" si="6"/>
        <v>16173</v>
      </c>
      <c r="H22" s="3" t="str">
        <f t="shared" si="7"/>
        <v>Micronesia (Federated States of)</v>
      </c>
      <c r="I22" s="6">
        <f t="shared" si="8"/>
        <v>7.4630557101341741E-2</v>
      </c>
      <c r="J22" s="6">
        <f t="shared" si="9"/>
        <v>2.6525690966425524E-2</v>
      </c>
      <c r="K22" s="6">
        <f t="shared" si="10"/>
        <v>0.89884375193223276</v>
      </c>
      <c r="N22" s="8" t="s">
        <v>40</v>
      </c>
      <c r="O22" s="9">
        <v>0.32831571958169647</v>
      </c>
      <c r="P22" s="9">
        <v>6.8306313285010786E-2</v>
      </c>
      <c r="Q22" s="9">
        <v>0.60337796713329273</v>
      </c>
    </row>
    <row r="23" spans="1:17" x14ac:dyDescent="0.2">
      <c r="A23" s="3" t="str">
        <f t="shared" si="2"/>
        <v>Nauru</v>
      </c>
      <c r="B23" s="3">
        <f t="shared" si="3"/>
        <v>890</v>
      </c>
      <c r="C23" s="3">
        <f t="shared" si="4"/>
        <v>383</v>
      </c>
      <c r="D23" s="3">
        <f t="shared" si="5"/>
        <v>2938</v>
      </c>
      <c r="E23" s="3">
        <f t="shared" si="6"/>
        <v>4211</v>
      </c>
      <c r="H23" s="3" t="str">
        <f t="shared" si="7"/>
        <v>Nauru</v>
      </c>
      <c r="I23" s="6">
        <f t="shared" si="8"/>
        <v>0.21135122298741391</v>
      </c>
      <c r="J23" s="6">
        <f t="shared" si="9"/>
        <v>9.0952267869864642E-2</v>
      </c>
      <c r="K23" s="6">
        <f t="shared" si="10"/>
        <v>0.69769650914272141</v>
      </c>
      <c r="N23" s="3" t="s">
        <v>27</v>
      </c>
      <c r="O23" s="7">
        <v>0.21135122298741391</v>
      </c>
      <c r="P23" s="7">
        <v>9.0952267869864642E-2</v>
      </c>
      <c r="Q23" s="7">
        <v>0.69769650914272141</v>
      </c>
    </row>
    <row r="24" spans="1:17" x14ac:dyDescent="0.2">
      <c r="A24" s="3" t="str">
        <f t="shared" si="2"/>
        <v>Niue</v>
      </c>
      <c r="B24" s="3">
        <f t="shared" si="3"/>
        <v>69</v>
      </c>
      <c r="C24" s="3">
        <f t="shared" si="4"/>
        <v>11</v>
      </c>
      <c r="D24" s="3">
        <f t="shared" si="5"/>
        <v>656</v>
      </c>
      <c r="E24" s="3">
        <f t="shared" si="6"/>
        <v>736</v>
      </c>
      <c r="H24" s="3" t="str">
        <f t="shared" si="7"/>
        <v>Niue</v>
      </c>
      <c r="I24" s="6">
        <f t="shared" si="8"/>
        <v>9.375E-2</v>
      </c>
      <c r="J24" s="6">
        <f t="shared" si="9"/>
        <v>1.4945652173913044E-2</v>
      </c>
      <c r="K24" s="6">
        <f t="shared" si="10"/>
        <v>0.89130434782608692</v>
      </c>
      <c r="N24" s="3" t="s">
        <v>24</v>
      </c>
      <c r="O24" s="7">
        <v>0.1968195620904587</v>
      </c>
      <c r="P24" s="7">
        <v>5.2341377657024131E-2</v>
      </c>
      <c r="Q24" s="7">
        <v>0.75083906025251723</v>
      </c>
    </row>
    <row r="25" spans="1:17" x14ac:dyDescent="0.2">
      <c r="A25" s="3" t="str">
        <f t="shared" si="2"/>
        <v>Palau</v>
      </c>
      <c r="B25" s="3">
        <f t="shared" si="3"/>
        <v>1032</v>
      </c>
      <c r="C25" s="3">
        <f t="shared" si="4"/>
        <v>176</v>
      </c>
      <c r="D25" s="3">
        <f t="shared" si="5"/>
        <v>7686</v>
      </c>
      <c r="E25" s="3">
        <f t="shared" si="6"/>
        <v>8894</v>
      </c>
      <c r="H25" s="3" t="str">
        <f t="shared" si="7"/>
        <v>Palau</v>
      </c>
      <c r="I25" s="6">
        <f t="shared" si="8"/>
        <v>0.11603328086350348</v>
      </c>
      <c r="J25" s="6">
        <f t="shared" si="9"/>
        <v>1.9788621542612999E-2</v>
      </c>
      <c r="K25" s="6">
        <f t="shared" si="10"/>
        <v>0.86417809759388353</v>
      </c>
      <c r="N25" s="3" t="s">
        <v>25</v>
      </c>
      <c r="O25" s="7">
        <v>0.1585065386316255</v>
      </c>
      <c r="P25" s="7">
        <v>3.2535220165518984E-2</v>
      </c>
      <c r="Q25" s="7">
        <v>0.80895824120285553</v>
      </c>
    </row>
    <row r="26" spans="1:17" x14ac:dyDescent="0.2">
      <c r="A26" s="3" t="str">
        <f t="shared" si="2"/>
        <v>Samoa</v>
      </c>
      <c r="B26" s="3">
        <f t="shared" si="3"/>
        <v>17114</v>
      </c>
      <c r="C26" s="3">
        <f t="shared" si="4"/>
        <v>4030</v>
      </c>
      <c r="D26" s="3">
        <f t="shared" si="5"/>
        <v>25788</v>
      </c>
      <c r="E26" s="3">
        <f t="shared" si="6"/>
        <v>46932</v>
      </c>
      <c r="H26" s="3" t="str">
        <f t="shared" si="7"/>
        <v>Samoa</v>
      </c>
      <c r="I26" s="6">
        <f t="shared" si="8"/>
        <v>0.36465524588766729</v>
      </c>
      <c r="J26" s="6">
        <f t="shared" si="9"/>
        <v>8.586891673058894E-2</v>
      </c>
      <c r="K26" s="6">
        <f t="shared" si="10"/>
        <v>0.54947583738174377</v>
      </c>
      <c r="N26" s="3" t="s">
        <v>32</v>
      </c>
      <c r="O26" s="7">
        <v>0.14039087947882736</v>
      </c>
      <c r="P26" s="7">
        <v>0.1433948606587043</v>
      </c>
      <c r="Q26" s="7">
        <v>0.71621425986246834</v>
      </c>
    </row>
    <row r="27" spans="1:17" x14ac:dyDescent="0.2">
      <c r="A27" s="3" t="str">
        <f t="shared" si="2"/>
        <v>Solomon Islands</v>
      </c>
      <c r="B27" s="3">
        <f t="shared" si="3"/>
        <v>52416</v>
      </c>
      <c r="C27" s="3">
        <f t="shared" si="4"/>
        <v>9574</v>
      </c>
      <c r="D27" s="3">
        <f t="shared" si="5"/>
        <v>63214</v>
      </c>
      <c r="E27" s="3">
        <f t="shared" si="6"/>
        <v>125204</v>
      </c>
      <c r="H27" s="3" t="str">
        <f t="shared" si="7"/>
        <v>Solomon Islands</v>
      </c>
      <c r="I27" s="6">
        <f t="shared" si="8"/>
        <v>0.41864477173253251</v>
      </c>
      <c r="J27" s="6">
        <f t="shared" si="9"/>
        <v>7.6467205520590401E-2</v>
      </c>
      <c r="K27" s="6">
        <f t="shared" si="10"/>
        <v>0.50488802274687705</v>
      </c>
      <c r="N27" s="3" t="s">
        <v>29</v>
      </c>
      <c r="O27" s="7">
        <v>0.11603328086350348</v>
      </c>
      <c r="P27" s="7">
        <v>1.9788621542612999E-2</v>
      </c>
      <c r="Q27" s="7">
        <v>0.86417809759388353</v>
      </c>
    </row>
    <row r="28" spans="1:17" x14ac:dyDescent="0.2">
      <c r="A28" s="3" t="str">
        <f t="shared" si="2"/>
        <v>Tonga</v>
      </c>
      <c r="B28" s="3">
        <f t="shared" si="3"/>
        <v>3879</v>
      </c>
      <c r="C28" s="3">
        <f t="shared" si="4"/>
        <v>3962</v>
      </c>
      <c r="D28" s="3">
        <f t="shared" si="5"/>
        <v>19789</v>
      </c>
      <c r="E28" s="3">
        <f t="shared" si="6"/>
        <v>27630</v>
      </c>
      <c r="H28" s="3" t="str">
        <f t="shared" si="7"/>
        <v>Tonga</v>
      </c>
      <c r="I28" s="6">
        <f t="shared" si="8"/>
        <v>0.14039087947882736</v>
      </c>
      <c r="J28" s="6">
        <f t="shared" si="9"/>
        <v>0.1433948606587043</v>
      </c>
      <c r="K28" s="6">
        <f t="shared" si="10"/>
        <v>0.71621425986246834</v>
      </c>
      <c r="N28" s="3" t="s">
        <v>28</v>
      </c>
      <c r="O28" s="7">
        <v>9.375E-2</v>
      </c>
      <c r="P28" s="7">
        <v>1.4945652173913044E-2</v>
      </c>
      <c r="Q28" s="7">
        <v>0.89130434782608692</v>
      </c>
    </row>
    <row r="29" spans="1:17" x14ac:dyDescent="0.2">
      <c r="A29" s="3" t="str">
        <f t="shared" si="2"/>
        <v>Tuvalu</v>
      </c>
      <c r="B29" s="3">
        <f t="shared" si="3"/>
        <v>223</v>
      </c>
      <c r="C29" s="3">
        <f t="shared" si="4"/>
        <v>210</v>
      </c>
      <c r="D29" s="3">
        <f t="shared" si="5"/>
        <v>2006</v>
      </c>
      <c r="E29" s="3">
        <f t="shared" si="6"/>
        <v>2439</v>
      </c>
      <c r="H29" s="3" t="str">
        <f t="shared" si="7"/>
        <v>Tuvalu</v>
      </c>
      <c r="I29" s="6">
        <f t="shared" si="8"/>
        <v>9.1430914309143088E-2</v>
      </c>
      <c r="J29" s="6">
        <f t="shared" si="9"/>
        <v>8.6100861008610086E-2</v>
      </c>
      <c r="K29" s="6">
        <f t="shared" si="10"/>
        <v>0.82246822468224678</v>
      </c>
      <c r="N29" s="3" t="s">
        <v>33</v>
      </c>
      <c r="O29" s="7">
        <v>9.1430914309143088E-2</v>
      </c>
      <c r="P29" s="7">
        <v>8.6100861008610086E-2</v>
      </c>
      <c r="Q29" s="7">
        <v>0.82246822468224678</v>
      </c>
    </row>
    <row r="30" spans="1:17" x14ac:dyDescent="0.2">
      <c r="A30" s="3" t="str">
        <f t="shared" si="2"/>
        <v>Tokelau</v>
      </c>
      <c r="B30" s="3">
        <f t="shared" si="3"/>
        <v>0</v>
      </c>
      <c r="C30" s="3">
        <f t="shared" si="4"/>
        <v>63</v>
      </c>
      <c r="D30" s="3">
        <f t="shared" si="5"/>
        <v>455</v>
      </c>
      <c r="E30" s="3">
        <f t="shared" si="6"/>
        <v>518</v>
      </c>
      <c r="H30" s="3" t="str">
        <f t="shared" si="7"/>
        <v>Tokelau</v>
      </c>
      <c r="I30" s="6">
        <f t="shared" si="8"/>
        <v>0</v>
      </c>
      <c r="J30" s="6">
        <f t="shared" si="9"/>
        <v>0.12162162162162163</v>
      </c>
      <c r="K30" s="6">
        <f t="shared" si="10"/>
        <v>0.8783783783783784</v>
      </c>
      <c r="N30" s="3" t="s">
        <v>26</v>
      </c>
      <c r="O30" s="7">
        <v>7.4630557101341741E-2</v>
      </c>
      <c r="P30" s="7">
        <v>2.6525690966425524E-2</v>
      </c>
      <c r="Q30" s="7">
        <v>0.89884375193223276</v>
      </c>
    </row>
    <row r="31" spans="1:17" x14ac:dyDescent="0.2">
      <c r="A31" s="3" t="str">
        <f t="shared" si="2"/>
        <v>Vanuatu</v>
      </c>
      <c r="B31" s="3">
        <f t="shared" si="3"/>
        <v>34063</v>
      </c>
      <c r="C31" s="3">
        <f t="shared" si="4"/>
        <v>3856</v>
      </c>
      <c r="D31" s="3">
        <f t="shared" si="5"/>
        <v>43094</v>
      </c>
      <c r="E31" s="3">
        <f t="shared" si="6"/>
        <v>81013</v>
      </c>
      <c r="H31" s="3" t="str">
        <f t="shared" si="7"/>
        <v>Vanuatu</v>
      </c>
      <c r="I31" s="6">
        <f t="shared" si="8"/>
        <v>0.42046338242010539</v>
      </c>
      <c r="J31" s="6">
        <f t="shared" si="9"/>
        <v>4.7597299198894008E-2</v>
      </c>
      <c r="K31" s="6">
        <f t="shared" si="10"/>
        <v>0.53193931838100061</v>
      </c>
      <c r="N31" s="3" t="s">
        <v>23</v>
      </c>
      <c r="O31" s="7">
        <v>5.0342915511454839E-2</v>
      </c>
      <c r="P31" s="7">
        <v>2.4952575514373267E-2</v>
      </c>
      <c r="Q31" s="7">
        <v>0.92470450897417189</v>
      </c>
    </row>
    <row r="32" spans="1:17" x14ac:dyDescent="0.2">
      <c r="B32" s="3">
        <f>SUM(B19:B31)</f>
        <v>118673</v>
      </c>
      <c r="C32" s="3">
        <f t="shared" ref="C32:E32" si="11">SUM(C19:C31)</f>
        <v>24690</v>
      </c>
      <c r="D32" s="3">
        <f t="shared" si="11"/>
        <v>218097</v>
      </c>
      <c r="E32" s="3">
        <f t="shared" si="11"/>
        <v>361460</v>
      </c>
      <c r="H32" s="3" t="s">
        <v>40</v>
      </c>
      <c r="I32" s="6">
        <f t="shared" ref="I32" si="12">B32/$E32</f>
        <v>0.32831571958169647</v>
      </c>
      <c r="J32" s="6">
        <f t="shared" ref="J32" si="13">C32/$E32</f>
        <v>6.8306313285010786E-2</v>
      </c>
      <c r="K32" s="6">
        <f t="shared" ref="K32" si="14">D32/$E32</f>
        <v>0.60337796713329273</v>
      </c>
      <c r="N32" s="3" t="s">
        <v>34</v>
      </c>
      <c r="O32" s="7">
        <v>0</v>
      </c>
      <c r="P32" s="7">
        <v>0.12162162162162163</v>
      </c>
      <c r="Q32" s="7">
        <v>0.8783783783783784</v>
      </c>
    </row>
  </sheetData>
  <sortState xmlns:xlrd2="http://schemas.microsoft.com/office/spreadsheetml/2017/richdata2" ref="N19:Q32">
    <sortCondition descending="1" ref="O21:O32"/>
  </sortState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Hogan</dc:creator>
  <cp:lastModifiedBy>James Hogan</cp:lastModifiedBy>
  <dcterms:created xsi:type="dcterms:W3CDTF">2026-04-14T23:36:01Z</dcterms:created>
  <dcterms:modified xsi:type="dcterms:W3CDTF">2026-04-15T05:53:01Z</dcterms:modified>
</cp:coreProperties>
</file>